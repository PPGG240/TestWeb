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pgailite2\My Documents\"/>
    </mc:Choice>
  </mc:AlternateContent>
  <xr:revisionPtr revIDLastSave="0" documentId="13_ncr:1_{29D4CFAF-3CA9-4F1E-A2FA-C842D7D2FB00}" xr6:coauthVersionLast="47" xr6:coauthVersionMax="47" xr10:uidLastSave="{00000000-0000-0000-0000-000000000000}"/>
  <bookViews>
    <workbookView xWindow="-120" yWindow="-120" windowWidth="29040" windowHeight="15840" tabRatio="704" firstSheet="1" activeTab="13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Kārlis" sheetId="25" r:id="rId11"/>
    <sheet name="Vidējais ātrums" sheetId="26" r:id="rId12"/>
    <sheet name="velo" sheetId="23" r:id="rId13"/>
    <sheet name="pH" sheetId="24" r:id="rId14"/>
  </sheets>
  <definedNames>
    <definedName name="_xlchart.v1.0" hidden="1">velo!$G$1</definedName>
    <definedName name="_xlchart.v1.1" hidden="1">velo!$G$2:$G$1487</definedName>
    <definedName name="_xlchart.v1.2" hidden="1">velo!$A$2:$A$1487</definedName>
    <definedName name="_xlchart.v1.3" hidden="1">velo!$G$1</definedName>
    <definedName name="_xlchart.v1.4" hidden="1">velo!$G$2:$G$1487</definedName>
    <definedName name="_xlchart.v1.5" hidden="1">velo!$G$1</definedName>
    <definedName name="_xlchart.v1.6" hidden="1">velo!$G$2:$G$1487</definedName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pivotCaches>
    <pivotCache cacheId="1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0" l="1"/>
  <c r="C5" i="20"/>
  <c r="D5" i="20"/>
  <c r="E5" i="20"/>
  <c r="F5" i="20"/>
  <c r="G5" i="20"/>
  <c r="B6" i="20"/>
  <c r="C6" i="20"/>
  <c r="D6" i="20"/>
  <c r="E6" i="20"/>
  <c r="F6" i="20"/>
  <c r="G6" i="20"/>
  <c r="B7" i="20"/>
  <c r="C7" i="20"/>
  <c r="D7" i="20"/>
  <c r="E7" i="20"/>
  <c r="F7" i="20"/>
  <c r="G7" i="20"/>
  <c r="B8" i="20"/>
  <c r="C8" i="20"/>
  <c r="D8" i="20"/>
  <c r="E8" i="20"/>
  <c r="F8" i="20"/>
  <c r="G8" i="20"/>
  <c r="B9" i="20"/>
  <c r="C9" i="20"/>
  <c r="D9" i="20"/>
  <c r="E9" i="20"/>
  <c r="F9" i="20"/>
  <c r="G9" i="20"/>
  <c r="C4" i="20"/>
  <c r="D4" i="20"/>
  <c r="E4" i="20"/>
  <c r="F4" i="20"/>
  <c r="G4" i="20"/>
  <c r="B4" i="20"/>
  <c r="D29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" i="21"/>
  <c r="N2" i="2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4" i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F3" i="16"/>
  <c r="F4" i="16"/>
  <c r="F5" i="16"/>
  <c r="F6" i="16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2" i="16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sharedStrings.xml><?xml version="1.0" encoding="utf-8"?>
<sst xmlns="http://schemas.openxmlformats.org/spreadsheetml/2006/main" count="9185" uniqueCount="3920">
  <si>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</si>
  <si>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</si>
  <si>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</si>
  <si>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</si>
  <si>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</si>
  <si>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</si>
  <si>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</si>
  <si>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</si>
  <si>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</si>
  <si>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</si>
  <si>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</si>
  <si>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</si>
  <si>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</si>
  <si>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</si>
  <si>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</si>
  <si>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</si>
  <si>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</si>
  <si>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</si>
  <si>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</si>
  <si>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</si>
  <si>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</si>
  <si>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</si>
  <si>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</si>
  <si>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</si>
  <si>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</si>
  <si>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</si>
  <si>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</si>
  <si>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</si>
  <si>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</si>
  <si>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</si>
  <si>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</si>
  <si>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</si>
  <si>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</si>
  <si>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</si>
  <si>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</si>
  <si>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</si>
  <si>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</si>
  <si>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</si>
  <si>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</si>
  <si>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</si>
  <si>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</si>
  <si>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</si>
  <si>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</si>
  <si>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</si>
  <si>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</si>
  <si>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</si>
  <si>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</si>
  <si>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</si>
  <si>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</si>
  <si>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</si>
  <si>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</si>
  <si>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</si>
  <si>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</si>
  <si>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</si>
  <si>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</si>
  <si>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</si>
  <si>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</si>
  <si>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</si>
  <si>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</si>
  <si>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</si>
  <si>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</si>
  <si>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</si>
  <si>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</si>
  <si>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</si>
  <si>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</si>
  <si>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</si>
  <si>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</si>
  <si>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</si>
  <si>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</si>
  <si>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</si>
  <si>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</si>
  <si>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</si>
  <si>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</si>
  <si>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</si>
  <si>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</si>
  <si>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</si>
  <si>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</si>
  <si>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</si>
  <si>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</si>
  <si>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</si>
  <si>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</si>
  <si>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</si>
  <si>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</si>
  <si>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</si>
  <si>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</si>
  <si>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</si>
  <si>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</si>
  <si>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</si>
  <si>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</si>
  <si>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</si>
  <si>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</si>
  <si>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</si>
  <si>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</si>
  <si>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</si>
  <si>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</si>
  <si>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</si>
  <si>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</si>
  <si>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</si>
  <si>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</si>
  <si>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</si>
  <si>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</si>
  <si>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</si>
  <si>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</si>
  <si>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</si>
  <si>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</si>
  <si>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</si>
  <si>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</si>
  <si>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</si>
  <si>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</si>
  <si>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</si>
  <si>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</si>
  <si>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</si>
  <si>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</si>
  <si>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</si>
  <si>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</si>
  <si>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</si>
  <si>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</si>
  <si>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</si>
  <si>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</si>
  <si>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</si>
  <si>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</si>
  <si>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</si>
  <si>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</si>
  <si>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</si>
  <si>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</si>
  <si>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</si>
  <si>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</si>
  <si>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</si>
  <si>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</si>
  <si>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</si>
  <si>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</si>
  <si>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</si>
  <si>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</si>
  <si>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</si>
  <si>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</si>
  <si>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</si>
  <si>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</si>
  <si>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</si>
  <si>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</si>
  <si>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</si>
  <si>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</si>
  <si>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</si>
  <si>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</si>
  <si>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</si>
  <si>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</si>
  <si>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</si>
  <si>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</si>
  <si>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</si>
  <si>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</si>
  <si>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</si>
  <si>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</si>
  <si>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</si>
  <si>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</si>
  <si>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</si>
  <si>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</si>
  <si>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</si>
  <si>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</si>
  <si>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</si>
  <si>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</si>
  <si>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</si>
  <si>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</si>
  <si>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</si>
  <si>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</si>
  <si>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</si>
  <si>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</si>
  <si>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</si>
  <si>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</si>
  <si>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</si>
  <si>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</si>
  <si>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</si>
  <si>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</si>
  <si>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</si>
  <si>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</si>
  <si>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</si>
  <si>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</si>
  <si>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</si>
  <si>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</si>
  <si>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</si>
  <si>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</si>
  <si>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</si>
  <si>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</si>
  <si>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</si>
  <si>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</si>
  <si>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</si>
  <si>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</si>
  <si>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</si>
  <si>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</si>
  <si>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</si>
  <si>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</si>
  <si>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</si>
  <si>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</si>
  <si>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</si>
  <si>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</si>
  <si>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</si>
  <si>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</si>
  <si>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</si>
  <si>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</si>
  <si>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</si>
  <si>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</si>
  <si>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</si>
  <si>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</si>
  <si>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</si>
  <si>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</si>
  <si>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</si>
  <si>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</si>
  <si>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</si>
  <si>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</si>
  <si>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</si>
  <si>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</si>
  <si>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</si>
  <si>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</si>
  <si>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</si>
  <si>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</si>
  <si>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</si>
  <si>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</si>
  <si>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</si>
  <si>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</si>
  <si>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</si>
  <si>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</si>
  <si>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</si>
  <si>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</si>
  <si>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</si>
  <si>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</si>
  <si>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</si>
  <si>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</si>
  <si>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</si>
  <si>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</si>
  <si>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</si>
  <si>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</si>
  <si>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</si>
  <si>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</si>
  <si>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</si>
  <si>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</si>
  <si>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</si>
  <si>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</si>
  <si>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</si>
  <si>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</si>
  <si>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</si>
  <si>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</si>
  <si>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</si>
  <si>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</si>
  <si>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</si>
  <si>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</si>
  <si>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</si>
  <si>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</si>
  <si>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</si>
  <si>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</si>
  <si>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</si>
  <si>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</si>
  <si>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</si>
  <si>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</si>
  <si>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</si>
  <si>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</si>
  <si>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</si>
  <si>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</si>
  <si>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</si>
  <si>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</si>
  <si>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</si>
  <si>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</si>
  <si>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</si>
  <si>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</si>
  <si>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</si>
  <si>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</si>
  <si>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</si>
  <si>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</si>
  <si>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</si>
  <si>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</si>
  <si>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</si>
  <si>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</si>
  <si>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</si>
  <si>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</si>
  <si>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</si>
  <si>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</si>
  <si>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</si>
  <si>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</si>
  <si>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</si>
  <si>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</si>
  <si>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</si>
  <si>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</si>
  <si>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</si>
  <si>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</si>
  <si>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</si>
  <si>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</si>
  <si>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</si>
  <si>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</si>
  <si>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</si>
  <si>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</si>
  <si>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</si>
  <si>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</si>
  <si>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</si>
  <si>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</si>
  <si>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</si>
  <si>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</si>
  <si>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</si>
  <si>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</si>
  <si>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</si>
  <si>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</si>
  <si>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</si>
  <si>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</si>
  <si>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</si>
  <si>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</si>
  <si>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</si>
  <si>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</si>
  <si>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</si>
  <si>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</si>
  <si>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</si>
  <si>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</si>
  <si>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</si>
  <si>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</si>
  <si>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</si>
  <si>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</si>
  <si>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</si>
  <si>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</si>
  <si>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</si>
  <si>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</si>
  <si>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</si>
  <si>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</si>
  <si>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</si>
  <si>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</si>
  <si>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</si>
  <si>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</si>
  <si>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</si>
  <si>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</si>
  <si>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</si>
  <si>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</si>
  <si>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</si>
  <si>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</si>
  <si>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</si>
  <si>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</si>
  <si>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</si>
  <si>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</si>
  <si>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</si>
  <si>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</si>
  <si>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</si>
  <si>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</si>
  <si>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</si>
  <si>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</si>
  <si>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</si>
  <si>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</si>
  <si>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</si>
  <si>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</si>
  <si>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</si>
  <si>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</si>
  <si>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</si>
  <si>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</si>
  <si>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</si>
  <si>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</si>
  <si>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</si>
  <si>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</si>
  <si>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</si>
  <si>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</si>
  <si>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</si>
  <si>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</si>
  <si>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</si>
  <si>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</si>
  <si>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</si>
  <si>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</si>
  <si>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</si>
  <si>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</si>
  <si>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</si>
  <si>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</si>
  <si>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</si>
  <si>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</si>
  <si>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</si>
  <si>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</si>
  <si>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</si>
  <si>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</si>
  <si>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</si>
  <si>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</si>
  <si>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</si>
  <si>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</si>
  <si>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</si>
  <si>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</si>
  <si>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</si>
  <si>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</si>
  <si>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</si>
  <si>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</si>
  <si>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</si>
  <si>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</si>
  <si>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</si>
  <si>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</si>
  <si>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</si>
  <si>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</si>
  <si>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</si>
  <si>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</si>
  <si>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</si>
  <si>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</si>
  <si>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</si>
  <si>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</si>
  <si>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</si>
  <si>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</si>
  <si>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</si>
  <si>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</si>
  <si>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</si>
  <si>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</si>
  <si>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</si>
  <si>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</si>
  <si>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</si>
  <si>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</si>
  <si>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</si>
  <si>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</si>
  <si>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</si>
  <si>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</si>
  <si>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</si>
  <si>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</si>
  <si>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</si>
  <si>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</si>
  <si>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</si>
  <si>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</si>
  <si>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</si>
  <si>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</si>
  <si>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</si>
  <si>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</si>
  <si>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</si>
  <si>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</si>
  <si>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</si>
  <si>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</si>
  <si>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</si>
  <si>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</si>
  <si>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</si>
  <si>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</si>
  <si>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</si>
  <si>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</si>
  <si>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</si>
  <si>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</si>
  <si>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</si>
  <si>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</si>
  <si>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</si>
  <si>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</si>
  <si>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</si>
  <si>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</si>
  <si>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</si>
  <si>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</si>
  <si>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</si>
  <si>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</si>
  <si>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</si>
  <si>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</si>
  <si>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</si>
  <si>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</si>
  <si>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</si>
  <si>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</si>
  <si>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</si>
  <si>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</si>
  <si>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</si>
  <si>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</si>
  <si>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</si>
  <si>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</si>
  <si>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</si>
  <si>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</si>
  <si>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</si>
  <si>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</si>
  <si>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</si>
  <si>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</si>
  <si>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</si>
  <si>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</si>
  <si>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</si>
  <si>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</si>
  <si>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</si>
  <si>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</si>
  <si>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</si>
  <si>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</si>
  <si>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</si>
  <si>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</si>
  <si>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</si>
  <si>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</si>
  <si>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</si>
  <si>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</si>
  <si>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</si>
  <si>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</si>
  <si>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</si>
  <si>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</si>
  <si>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</si>
  <si>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</si>
  <si>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</si>
  <si>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</si>
  <si>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</si>
  <si>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</si>
  <si>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</si>
  <si>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</si>
  <si>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</si>
  <si>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</si>
  <si>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</si>
  <si>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</si>
  <si>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</si>
  <si>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</si>
  <si>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</si>
  <si>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</si>
  <si>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</si>
  <si>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</si>
  <si>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</si>
  <si>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</si>
  <si>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</si>
  <si>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</si>
  <si>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</si>
  <si>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</si>
  <si>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</si>
  <si>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</si>
  <si>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</si>
  <si>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</si>
  <si>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</si>
  <si>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</si>
  <si>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</si>
  <si>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</si>
  <si>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</si>
  <si>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</si>
  <si>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</si>
  <si>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</si>
  <si>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</si>
  <si>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</si>
  <si>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</si>
  <si>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</si>
  <si>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</si>
  <si>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</si>
  <si>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</si>
  <si>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</si>
  <si>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</si>
  <si>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</si>
  <si>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</si>
  <si>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</si>
  <si>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</si>
  <si>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</si>
  <si>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</si>
  <si>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</si>
  <si>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</si>
  <si>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</si>
  <si>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</si>
  <si>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</si>
  <si>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</si>
  <si>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</si>
  <si>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</si>
  <si>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</si>
  <si>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</si>
  <si>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</si>
  <si>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</si>
  <si>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</si>
  <si>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</si>
  <si>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</si>
  <si>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</si>
  <si>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</si>
  <si>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</si>
  <si>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</si>
  <si>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</si>
  <si>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</si>
  <si>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</si>
  <si>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</si>
  <si>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</si>
  <si>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</si>
  <si>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</si>
  <si>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</si>
  <si>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</si>
  <si>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</si>
  <si>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</si>
  <si>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</si>
  <si>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</si>
  <si>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</si>
  <si>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</si>
  <si>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</si>
  <si>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</si>
  <si>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</si>
  <si>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</si>
  <si>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</si>
  <si>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</si>
  <si>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</si>
  <si>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</si>
  <si>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</si>
  <si>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</si>
  <si>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</si>
  <si>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</si>
  <si>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</si>
  <si>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</si>
  <si>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</si>
  <si>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</si>
  <si>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</si>
  <si>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</si>
  <si>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</si>
  <si>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</si>
  <si>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</si>
  <si>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</si>
  <si>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</si>
  <si>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</si>
  <si>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</si>
  <si>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</si>
  <si>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</si>
  <si>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</si>
  <si>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</si>
  <si>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</si>
  <si>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</si>
  <si>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</si>
  <si>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</si>
  <si>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</si>
  <si>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</si>
  <si>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</si>
  <si>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</si>
  <si>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</si>
  <si>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</si>
  <si>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</si>
  <si>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</si>
  <si>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</si>
  <si>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</si>
  <si>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</si>
  <si>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</si>
  <si>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</si>
  <si>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</si>
  <si>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</si>
  <si>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</si>
  <si>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</si>
  <si>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</si>
  <si>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</si>
  <si>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</si>
  <si>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</si>
  <si>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</si>
  <si>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</si>
  <si>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</si>
  <si>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</si>
  <si>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</si>
  <si>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</si>
  <si>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</si>
  <si>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</si>
  <si>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</si>
  <si>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</si>
  <si>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</si>
  <si>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</si>
  <si>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</si>
  <si>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</si>
  <si>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</si>
  <si>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</si>
  <si>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</si>
  <si>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</si>
  <si>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</si>
  <si>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</si>
  <si>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</si>
  <si>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</si>
  <si>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</si>
  <si>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</si>
  <si>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</si>
  <si>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</si>
  <si>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</si>
  <si>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</si>
  <si>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</si>
  <si>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</si>
  <si>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</si>
  <si>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</si>
  <si>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</si>
  <si>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</si>
  <si>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</si>
  <si>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</si>
  <si>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</si>
  <si>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</si>
  <si>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</si>
  <si>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</si>
  <si>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</si>
  <si>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</si>
  <si>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</si>
  <si>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</si>
  <si>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</si>
  <si>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</si>
  <si>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</si>
  <si>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</si>
  <si>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</si>
  <si>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</si>
  <si>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</si>
  <si>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</si>
  <si>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</si>
  <si>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</si>
  <si>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</si>
  <si>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</si>
  <si>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</si>
  <si>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</si>
  <si>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</si>
  <si>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</si>
  <si>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</si>
  <si>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</si>
  <si>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</si>
  <si>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</si>
  <si>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</si>
  <si>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</si>
  <si>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</si>
  <si>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</si>
  <si>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</si>
  <si>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</si>
  <si>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</si>
  <si>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</si>
  <si>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</si>
  <si>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</si>
  <si>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</si>
  <si>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</si>
  <si>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</si>
  <si>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</si>
  <si>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</si>
  <si>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</si>
  <si>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</si>
  <si>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</si>
  <si>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</si>
  <si>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</si>
  <si>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</si>
  <si>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</si>
  <si>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</si>
  <si>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</si>
  <si>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</si>
  <si>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</si>
  <si>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</si>
  <si>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</si>
  <si>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</si>
  <si>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</si>
  <si>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</si>
  <si>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</si>
  <si>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</si>
  <si>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</si>
  <si>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</si>
  <si>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</si>
  <si>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</si>
  <si>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</si>
  <si>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</si>
  <si>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</si>
  <si>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</si>
  <si>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</si>
  <si>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</si>
  <si>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</si>
  <si>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</si>
  <si>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</si>
  <si>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</si>
  <si>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</si>
  <si>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</si>
  <si>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</si>
  <si>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</si>
  <si>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</si>
  <si>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</si>
  <si>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</si>
  <si>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</si>
  <si>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</si>
  <si>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</si>
  <si>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</si>
  <si>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</si>
  <si>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</si>
  <si>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</si>
  <si>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</si>
  <si>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</si>
  <si>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</si>
  <si>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</si>
  <si>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</si>
  <si>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</si>
  <si>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</si>
  <si>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</si>
  <si>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</si>
  <si>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</si>
  <si>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</si>
  <si>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</si>
  <si>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</si>
  <si>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</si>
  <si>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</si>
  <si>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</si>
  <si>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</si>
  <si>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</si>
  <si>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</si>
  <si>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</si>
  <si>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</si>
  <si>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</si>
  <si>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</si>
  <si>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</si>
  <si>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</si>
  <si>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</si>
  <si>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</si>
  <si>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</si>
  <si>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</si>
  <si>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</si>
  <si>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</si>
  <si>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</si>
  <si>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</si>
  <si>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</si>
  <si>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</si>
  <si>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</si>
  <si>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</si>
  <si>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</si>
  <si>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</si>
  <si>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</si>
  <si>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</si>
  <si>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</si>
  <si>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</si>
  <si>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</si>
  <si>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</si>
  <si>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</si>
  <si>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</si>
  <si>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</si>
  <si>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</si>
  <si>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</si>
  <si>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</si>
  <si>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</si>
  <si>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</si>
  <si>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</si>
  <si>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</si>
  <si>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</si>
  <si>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</si>
  <si>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</si>
  <si>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</si>
  <si>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</si>
  <si>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</si>
  <si>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</si>
  <si>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</si>
  <si>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</si>
  <si>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</si>
  <si>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</si>
  <si>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</si>
  <si>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</si>
  <si>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</si>
  <si>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</si>
  <si>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</si>
  <si>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</si>
  <si>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</si>
  <si>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</si>
  <si>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</si>
  <si>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</si>
  <si>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</si>
  <si>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</si>
  <si>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</si>
  <si>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</si>
  <si>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</si>
  <si>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</si>
  <si>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</si>
  <si>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</si>
  <si>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</si>
  <si>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</si>
  <si>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</si>
  <si>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</si>
  <si>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</si>
  <si>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</si>
  <si>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</si>
  <si>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</si>
  <si>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</si>
  <si>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</si>
  <si>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</si>
  <si>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</si>
  <si>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</si>
  <si>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</si>
  <si>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</si>
  <si>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</si>
  <si>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</si>
  <si>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</si>
  <si>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</si>
  <si>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</si>
  <si>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</si>
  <si>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</si>
  <si>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</si>
  <si>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</si>
  <si>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</si>
  <si>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</si>
  <si>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</si>
  <si>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</si>
  <si>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</si>
  <si>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</si>
  <si>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</si>
  <si>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</si>
  <si>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</si>
  <si>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</si>
  <si>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</si>
  <si>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</si>
  <si>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</si>
  <si>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</si>
  <si>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</si>
  <si>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</si>
  <si>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</si>
  <si>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</si>
  <si>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</si>
  <si>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</si>
  <si>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</si>
  <si>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</si>
  <si>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</si>
  <si>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</si>
  <si>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</si>
  <si>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</si>
  <si>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</si>
  <si>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</si>
  <si>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</si>
  <si>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</si>
  <si>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</si>
  <si>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</si>
  <si>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</si>
  <si>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</si>
  <si>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</si>
  <si>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</si>
  <si>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</si>
  <si>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</si>
  <si>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</si>
  <si>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</si>
  <si>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</si>
  <si>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</si>
  <si>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</si>
  <si>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</si>
  <si>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</si>
  <si>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</si>
  <si>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</si>
  <si>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</si>
  <si>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</si>
  <si>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</si>
  <si>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</si>
  <si>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</si>
  <si>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</si>
  <si>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</si>
  <si>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</si>
  <si>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</si>
  <si>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</si>
  <si>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</si>
  <si>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</si>
  <si>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</si>
  <si>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</si>
  <si>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</si>
  <si>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</si>
  <si>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</si>
  <si>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</si>
  <si>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</si>
  <si>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</si>
  <si>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</si>
  <si>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</si>
  <si>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</si>
  <si>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</si>
  <si>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</si>
  <si>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</si>
  <si>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</si>
  <si>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</si>
  <si>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</si>
  <si>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</si>
  <si>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</si>
  <si>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</si>
  <si>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</si>
  <si>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</si>
  <si>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</si>
  <si>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</si>
  <si>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</si>
  <si>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</si>
  <si>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</si>
  <si>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</si>
  <si>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</si>
  <si>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</si>
  <si>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</si>
  <si>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</si>
  <si>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</si>
  <si>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</si>
  <si>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</si>
  <si>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</si>
  <si>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</si>
  <si>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</si>
  <si>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</si>
  <si>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</si>
  <si>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</si>
  <si>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</si>
  <si>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</si>
  <si>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</si>
  <si>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</si>
  <si>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</si>
  <si>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</si>
  <si>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</si>
  <si>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</si>
  <si>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</si>
  <si>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</si>
  <si>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</si>
  <si>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</si>
  <si>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</si>
  <si>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</si>
  <si>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</si>
  <si>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</si>
  <si>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</si>
  <si>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</si>
  <si>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</si>
  <si>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</si>
  <si>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</si>
  <si>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</si>
  <si>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</si>
  <si>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</si>
  <si>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</si>
  <si>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</si>
  <si>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</si>
  <si>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</si>
  <si>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</si>
  <si>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</si>
  <si>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</si>
  <si>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</si>
  <si>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</si>
  <si>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</si>
  <si>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</si>
  <si>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</si>
  <si>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</si>
  <si>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</si>
  <si>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</si>
  <si>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</si>
  <si>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</si>
  <si>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</si>
  <si>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</si>
  <si>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</si>
  <si>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</si>
  <si>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</si>
  <si>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</si>
  <si>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</si>
  <si>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</si>
  <si>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</si>
  <si>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</si>
  <si>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</si>
  <si>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</si>
  <si>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</si>
  <si>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</si>
  <si>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</si>
  <si>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</si>
  <si>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</si>
  <si>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</si>
  <si>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</si>
  <si>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</si>
  <si>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</si>
  <si>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</si>
  <si>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</si>
  <si>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</si>
  <si>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</si>
  <si>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</si>
  <si>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</si>
  <si>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</si>
  <si>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</si>
  <si>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</si>
  <si>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</si>
  <si>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</si>
  <si>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</si>
  <si>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</si>
  <si>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</si>
  <si>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</si>
  <si>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</si>
  <si>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</si>
  <si>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</si>
  <si>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</si>
  <si>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</si>
  <si>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</si>
  <si>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</si>
  <si>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</si>
  <si>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</si>
  <si>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</si>
  <si>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</si>
  <si>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</si>
  <si>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</si>
  <si>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</si>
  <si>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</si>
  <si>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</si>
  <si>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</si>
  <si>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</si>
  <si>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</si>
  <si>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</si>
  <si>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</si>
  <si>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</si>
  <si>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</si>
  <si>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</si>
  <si>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</si>
  <si>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</si>
  <si>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</si>
  <si>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</si>
  <si>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</si>
  <si>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</si>
  <si>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</si>
  <si>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</si>
  <si>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</si>
  <si>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</si>
  <si>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</si>
  <si>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</si>
  <si>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</si>
  <si>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</si>
  <si>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</si>
  <si>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</si>
  <si>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</si>
  <si>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</si>
  <si>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</si>
  <si>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</si>
  <si>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</si>
  <si>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</si>
  <si>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</si>
  <si>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</si>
  <si>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</si>
  <si>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</si>
  <si>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</si>
  <si>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</si>
  <si>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</si>
  <si>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</si>
  <si>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</si>
  <si>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</si>
  <si>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</si>
  <si>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</si>
  <si>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</si>
  <si>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</si>
  <si>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</si>
  <si>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</si>
  <si>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</si>
  <si>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</si>
  <si>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</si>
  <si>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</si>
  <si>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</si>
  <si>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</si>
  <si>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</si>
  <si>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</si>
  <si>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</si>
  <si>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</si>
  <si>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</si>
  <si>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</si>
  <si>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</si>
  <si>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</si>
  <si>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</si>
  <si>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</si>
  <si>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</si>
  <si>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</si>
  <si>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</si>
  <si>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</si>
  <si>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</si>
  <si>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</si>
  <si>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</si>
  <si>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</si>
  <si>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</si>
  <si>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</si>
  <si>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</si>
  <si>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</si>
  <si>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</si>
  <si>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</si>
  <si>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</si>
  <si>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</si>
  <si>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</si>
  <si>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</si>
  <si>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</si>
  <si>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</si>
  <si>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</si>
  <si>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</si>
  <si>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</si>
  <si>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</si>
  <si>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</si>
  <si>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</si>
  <si>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</si>
  <si>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</si>
  <si>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</si>
  <si>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</si>
  <si>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</si>
  <si>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</si>
  <si>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</si>
  <si>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</si>
  <si>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</si>
  <si>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</si>
  <si>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</si>
  <si>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</si>
  <si>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</si>
  <si>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</si>
  <si>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</si>
  <si>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</si>
  <si>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</si>
  <si>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</si>
  <si>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</si>
  <si>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</si>
  <si>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</si>
  <si>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</si>
  <si>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</si>
  <si>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</si>
  <si>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</si>
  <si>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</si>
  <si>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</si>
  <si>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</si>
  <si>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</si>
  <si>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</si>
  <si>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</si>
  <si>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</si>
  <si>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</si>
  <si>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</si>
  <si>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</si>
  <si>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</si>
  <si>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</si>
  <si>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</si>
  <si>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</si>
  <si>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</si>
  <si>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</si>
  <si>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</si>
  <si>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</si>
  <si>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</si>
  <si>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</si>
  <si>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</si>
  <si>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</si>
  <si>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</si>
  <si>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</si>
  <si>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</si>
  <si>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</si>
  <si>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</si>
  <si>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</si>
  <si>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</si>
  <si>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</si>
  <si>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</si>
  <si>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</si>
  <si>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</si>
  <si>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</si>
  <si>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</si>
  <si>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</si>
  <si>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</si>
  <si>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</si>
  <si>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</si>
  <si>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</si>
  <si>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</si>
  <si>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</si>
  <si>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</si>
  <si>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</si>
  <si>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</si>
  <si>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</si>
  <si>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</si>
  <si>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</si>
  <si>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</si>
  <si>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</si>
  <si>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</si>
  <si>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</si>
  <si>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</si>
  <si>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</si>
  <si>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</si>
  <si>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</si>
  <si>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</si>
  <si>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</si>
  <si>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</si>
  <si>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</si>
  <si>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</si>
  <si>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</si>
  <si>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</si>
  <si>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</si>
  <si>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</si>
  <si>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</si>
  <si>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</si>
  <si>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</si>
  <si>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</si>
  <si>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</si>
  <si>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</si>
  <si>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</si>
  <si>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</si>
  <si>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</si>
  <si>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</si>
  <si>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</si>
  <si>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</si>
  <si>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</si>
  <si>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</si>
  <si>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</si>
  <si>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</si>
  <si>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</si>
  <si>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</si>
  <si>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</si>
  <si>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</si>
  <si>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</si>
  <si>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</si>
  <si>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</si>
  <si>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</si>
  <si>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</si>
  <si>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</si>
  <si>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</si>
  <si>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</si>
  <si>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</si>
  <si>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</si>
  <si>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</si>
  <si>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</si>
  <si>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</si>
  <si>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</si>
  <si>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</si>
  <si>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</si>
  <si>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</si>
  <si>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</si>
  <si>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</si>
  <si>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</si>
  <si>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</si>
  <si>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</si>
  <si>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</si>
  <si>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</si>
  <si>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</si>
  <si>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</si>
  <si>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</si>
  <si>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</si>
  <si>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</si>
  <si>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</si>
  <si>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</si>
  <si>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</si>
  <si>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</si>
  <si>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</si>
  <si>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</si>
  <si>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</si>
  <si>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</si>
  <si>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</si>
  <si>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</si>
  <si>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</si>
  <si>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</si>
  <si>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</si>
  <si>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</si>
  <si>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</si>
  <si>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</si>
  <si>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</si>
  <si>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</si>
  <si>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</si>
  <si>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</si>
  <si>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</si>
  <si>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</si>
  <si>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</si>
  <si>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</si>
  <si>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</si>
  <si>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</si>
  <si>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</si>
  <si>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</si>
  <si>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</si>
  <si>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</si>
  <si>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</si>
  <si>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</si>
  <si>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</si>
  <si>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</si>
  <si>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</si>
  <si>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</si>
  <si>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</si>
  <si>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</si>
  <si>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</si>
  <si>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</si>
  <si>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</si>
  <si>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</si>
  <si>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</si>
  <si>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</si>
  <si>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</si>
  <si>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</si>
  <si>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</si>
  <si>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</si>
  <si>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</si>
  <si>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</si>
  <si>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</si>
  <si>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</si>
  <si>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</si>
  <si>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</si>
  <si>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</si>
  <si>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</si>
  <si>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</si>
  <si>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</si>
  <si>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</si>
  <si>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</si>
  <si>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</si>
  <si>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</si>
  <si>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</si>
  <si>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</si>
  <si>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</si>
  <si>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</si>
  <si>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</si>
  <si>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</si>
  <si>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</si>
  <si>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</si>
  <si>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</si>
  <si>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</si>
  <si>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</si>
  <si>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</si>
  <si>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</si>
  <si>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</si>
  <si>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</si>
  <si>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</si>
  <si>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</si>
  <si>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</si>
  <si>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</si>
  <si>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</si>
  <si>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</si>
  <si>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</si>
  <si>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</si>
  <si>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</si>
  <si>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</si>
  <si>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</si>
  <si>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</si>
  <si>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</si>
  <si>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</si>
  <si>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</si>
  <si>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</si>
  <si>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</si>
  <si>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</si>
  <si>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</si>
  <si>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</si>
  <si>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</si>
  <si>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</si>
  <si>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</si>
  <si>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</si>
  <si>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</si>
  <si>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</si>
  <si>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</si>
  <si>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</si>
  <si>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</si>
  <si>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</si>
  <si>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</si>
  <si>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</si>
  <si>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</si>
  <si>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</si>
  <si>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</si>
  <si>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</si>
  <si>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</si>
  <si>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</si>
  <si>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</si>
  <si>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</si>
  <si>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</si>
  <si>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</si>
  <si>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</si>
  <si>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</si>
  <si>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</si>
  <si>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</si>
  <si>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</si>
  <si>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</si>
  <si>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</si>
  <si>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</si>
  <si>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</si>
  <si>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</si>
  <si>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</si>
  <si>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</si>
  <si>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</si>
  <si>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</si>
  <si>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</si>
  <si>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</si>
  <si>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</si>
  <si>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</si>
  <si>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</si>
  <si>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</si>
  <si>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</si>
  <si>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</si>
  <si>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</si>
  <si>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</si>
  <si>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</si>
  <si>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</si>
  <si>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</si>
  <si>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</si>
  <si>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</si>
  <si>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</si>
  <si>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</si>
  <si>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</si>
  <si>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</si>
  <si>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</si>
  <si>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</si>
  <si>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</si>
  <si>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</si>
  <si>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</si>
  <si>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</si>
  <si>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</si>
  <si>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</si>
  <si>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</si>
  <si>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</si>
  <si>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</si>
  <si>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</si>
  <si>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</si>
  <si>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</si>
  <si>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</si>
  <si>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</si>
  <si>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</si>
  <si>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</si>
  <si>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</si>
  <si>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</si>
  <si>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</si>
  <si>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</si>
  <si>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</si>
  <si>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</si>
  <si>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</si>
  <si>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</si>
  <si>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</si>
  <si>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</si>
  <si>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</si>
  <si>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</si>
  <si>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</si>
  <si>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</si>
  <si>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</si>
  <si>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</si>
  <si>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</si>
  <si>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</si>
  <si>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</si>
  <si>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</si>
  <si>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</si>
  <si>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</si>
  <si>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</si>
  <si>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</si>
  <si>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</si>
  <si>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</si>
  <si>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</si>
  <si>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</si>
  <si>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</si>
  <si>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</si>
  <si>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</si>
  <si>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</si>
  <si>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</si>
  <si>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</si>
  <si>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</si>
  <si>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</si>
  <si>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</si>
  <si>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</si>
  <si>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</si>
  <si>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</si>
  <si>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</si>
  <si>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</si>
  <si>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</si>
  <si>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</si>
  <si>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</si>
  <si>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</si>
  <si>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</si>
  <si>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</si>
  <si>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</si>
  <si>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</si>
  <si>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</si>
  <si>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</si>
  <si>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</si>
  <si>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</si>
  <si>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</si>
  <si>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</si>
  <si>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</si>
  <si>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</si>
  <si>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</si>
  <si>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</si>
  <si>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</si>
  <si>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</si>
  <si>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</si>
  <si>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</si>
  <si>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</si>
  <si>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</si>
  <si>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</si>
  <si>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</si>
  <si>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</si>
  <si>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</si>
  <si>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</si>
  <si>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</si>
  <si>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</si>
  <si>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</si>
  <si>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</si>
  <si>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</si>
  <si>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</si>
  <si>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</si>
  <si>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</si>
  <si>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</si>
  <si>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</si>
  <si>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</si>
  <si>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</si>
  <si>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</si>
  <si>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</si>
  <si>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</si>
  <si>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</si>
  <si>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</si>
  <si>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</si>
  <si>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</si>
  <si>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</si>
  <si>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</si>
  <si>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</si>
  <si>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</si>
  <si>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</si>
  <si>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</si>
  <si>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</si>
  <si>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</si>
  <si>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</si>
  <si>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</si>
  <si>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</si>
  <si>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</si>
  <si>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</si>
  <si>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</si>
  <si>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</si>
  <si>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</si>
  <si>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</si>
  <si>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</si>
  <si>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</si>
  <si>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</si>
  <si>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</si>
  <si>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</si>
  <si>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</si>
  <si>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</si>
  <si>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</si>
  <si>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</si>
  <si>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</si>
  <si>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</si>
  <si>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</si>
  <si>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</si>
  <si>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</si>
  <si>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</si>
  <si>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</si>
  <si>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</si>
  <si>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</si>
  <si>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</si>
  <si>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</si>
  <si>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</si>
  <si>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</si>
  <si>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</si>
  <si>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</si>
  <si>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</si>
  <si>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</si>
  <si>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</si>
  <si>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</si>
  <si>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</si>
  <si>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</si>
  <si>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</si>
  <si>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</si>
  <si>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</si>
  <si>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</si>
  <si>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</si>
  <si>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</si>
  <si>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</si>
  <si>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</si>
  <si>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</si>
  <si>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</si>
  <si>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</si>
  <si>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</si>
  <si>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</si>
  <si>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</si>
  <si>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</si>
  <si>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</si>
  <si>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</si>
  <si>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</si>
  <si>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</si>
  <si>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</si>
  <si>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</si>
  <si>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</si>
  <si>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</si>
  <si>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</si>
  <si>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</si>
  <si>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</si>
  <si>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</si>
  <si>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</si>
  <si>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</si>
  <si>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</si>
  <si>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</si>
  <si>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</si>
  <si>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</si>
  <si>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</si>
  <si>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</si>
  <si>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</si>
  <si>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</si>
  <si>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</si>
  <si>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</si>
  <si>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</si>
  <si>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</si>
  <si>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</si>
  <si>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</si>
  <si>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</si>
  <si>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</si>
  <si>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</si>
  <si>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</si>
  <si>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</si>
  <si>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</si>
  <si>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</si>
  <si>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</si>
  <si>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</si>
  <si>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</si>
  <si>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</si>
  <si>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</si>
  <si>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</si>
  <si>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</si>
  <si>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</si>
  <si>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</si>
  <si>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</si>
  <si>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</si>
  <si>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</si>
  <si>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</si>
  <si>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</si>
  <si>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</si>
  <si>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</si>
  <si>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</si>
  <si>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</si>
  <si>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</si>
  <si>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</si>
  <si>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</si>
  <si>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</si>
  <si>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</si>
  <si>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</si>
  <si>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</si>
  <si>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</si>
  <si>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</si>
  <si>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</si>
  <si>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</si>
  <si>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</si>
  <si>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</si>
  <si>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</si>
  <si>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</si>
  <si>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</si>
  <si>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</si>
  <si>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</si>
  <si>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</si>
  <si>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</si>
  <si>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</si>
  <si>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</si>
  <si>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</si>
  <si>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</si>
  <si>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</si>
  <si>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</si>
  <si>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</si>
  <si>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</si>
  <si>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</si>
  <si>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</si>
  <si>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</si>
  <si>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</si>
  <si>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</si>
  <si>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</si>
  <si>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</si>
  <si>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</si>
  <si>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</si>
  <si>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</si>
  <si>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</si>
  <si>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</si>
  <si>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</si>
  <si>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</si>
  <si>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</si>
  <si>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</si>
  <si>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</si>
  <si>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</si>
  <si>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</si>
  <si>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</si>
  <si>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</si>
  <si>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</si>
  <si>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</si>
  <si>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</si>
  <si>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</si>
  <si>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</si>
  <si>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</si>
  <si>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</si>
  <si>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</si>
  <si>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</si>
  <si>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</si>
  <si>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</si>
  <si>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</si>
  <si>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</si>
  <si>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</si>
  <si>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</si>
  <si>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</si>
  <si>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</si>
  <si>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</si>
  <si>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</si>
  <si>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</si>
  <si>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</si>
  <si>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</si>
  <si>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</si>
  <si>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</si>
  <si>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</si>
  <si>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</si>
  <si>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</si>
  <si>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</si>
  <si>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</si>
  <si>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</si>
  <si>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</si>
  <si>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</si>
  <si>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</si>
  <si>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</si>
  <si>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</si>
  <si>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</si>
  <si>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</si>
  <si>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</si>
  <si>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</si>
  <si>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</si>
  <si>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</si>
  <si>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</si>
  <si>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</si>
  <si>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</si>
  <si>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</si>
  <si>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</si>
  <si>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</si>
  <si>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</si>
  <si>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</si>
  <si>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</si>
  <si>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</si>
  <si>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</si>
  <si>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</si>
  <si>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</si>
  <si>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</si>
  <si>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</si>
  <si>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</si>
  <si>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</si>
  <si>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</si>
  <si>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</si>
  <si>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</si>
  <si>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</si>
  <si>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</si>
  <si>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</si>
  <si>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</si>
  <si>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</si>
  <si>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</si>
  <si>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</si>
  <si>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</si>
  <si>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</si>
  <si>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</si>
  <si>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</si>
  <si>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</si>
  <si>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</si>
  <si>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</si>
  <si>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</si>
  <si>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</si>
  <si>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</si>
  <si>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</si>
  <si>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</si>
  <si>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</si>
  <si>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</si>
  <si>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</si>
  <si>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</si>
  <si>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</si>
  <si>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</si>
  <si>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</si>
  <si>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</si>
  <si>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</si>
  <si>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</si>
  <si>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</si>
  <si>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</si>
  <si>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</si>
  <si>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</si>
  <si>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</si>
  <si>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</si>
  <si>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</si>
  <si>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</si>
  <si>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</si>
  <si>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</si>
  <si>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</si>
  <si>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</si>
  <si>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</si>
  <si>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</si>
  <si>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</si>
  <si>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</si>
  <si>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</si>
  <si>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</si>
  <si>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</si>
  <si>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</si>
  <si>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</si>
  <si>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</si>
  <si>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</si>
  <si>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</si>
  <si>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</si>
  <si>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</si>
  <si>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</si>
  <si>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</si>
  <si>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</si>
  <si>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</si>
  <si>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</si>
  <si>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</si>
  <si>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</si>
  <si>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</si>
  <si>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</si>
  <si>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</si>
  <si>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</si>
  <si>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</si>
  <si>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</si>
  <si>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</si>
  <si>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</si>
  <si>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</si>
  <si>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</si>
  <si>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</si>
  <si>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</si>
  <si>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</si>
  <si>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</si>
  <si>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</si>
  <si>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</si>
  <si>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</si>
  <si>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</si>
  <si>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</si>
  <si>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</si>
  <si>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</si>
  <si>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</si>
  <si>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</si>
  <si>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</si>
  <si>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</si>
  <si>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</si>
  <si>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</si>
  <si>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</si>
  <si>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</si>
  <si>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</si>
  <si>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</si>
  <si>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</si>
  <si>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</si>
  <si>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</si>
  <si>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</si>
  <si>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</si>
  <si>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</si>
  <si>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</si>
  <si>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</si>
  <si>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</si>
  <si>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</si>
  <si>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</si>
  <si>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</si>
  <si>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</si>
  <si>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</si>
  <si>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</si>
  <si>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</si>
  <si>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</si>
  <si>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</si>
  <si>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</si>
  <si>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</si>
  <si>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</si>
  <si>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</si>
  <si>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</si>
  <si>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</si>
  <si>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</si>
  <si>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</si>
  <si>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</si>
  <si>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</si>
  <si>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</si>
  <si>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</si>
  <si>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</si>
  <si>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</si>
  <si>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</si>
  <si>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</si>
  <si>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</si>
  <si>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</si>
  <si>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</si>
  <si>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</si>
  <si>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</si>
  <si>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</si>
  <si>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</si>
  <si>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</si>
  <si>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</si>
  <si>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</si>
  <si>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</si>
  <si>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</si>
  <si>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</si>
  <si>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</si>
  <si>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</si>
  <si>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</si>
  <si>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</si>
  <si>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</si>
  <si>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</si>
  <si>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</si>
  <si>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</si>
  <si>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</si>
  <si>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</si>
  <si>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</si>
  <si>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</si>
  <si>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</si>
  <si>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</si>
  <si>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</si>
  <si>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</si>
  <si>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</si>
  <si>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</si>
  <si>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</si>
  <si>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</si>
  <si>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</si>
  <si>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</si>
  <si>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</si>
  <si>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</si>
  <si>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</si>
  <si>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</si>
  <si>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</si>
  <si>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</si>
  <si>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</si>
  <si>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</si>
  <si>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</si>
  <si>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</si>
  <si>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</si>
  <si>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</si>
  <si>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</si>
  <si>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</si>
  <si>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</si>
  <si>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</si>
  <si>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</si>
  <si>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</si>
  <si>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</si>
  <si>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</si>
  <si>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</si>
  <si>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</si>
  <si>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</si>
  <si>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</si>
  <si>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</si>
  <si>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</si>
  <si>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</si>
  <si>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</si>
  <si>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</si>
  <si>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</si>
  <si>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</si>
  <si>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</si>
  <si>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</si>
  <si>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</si>
  <si>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</si>
  <si>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</si>
  <si>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</si>
  <si>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</si>
  <si>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</si>
  <si>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</si>
  <si>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</si>
  <si>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</si>
  <si>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</si>
  <si>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</si>
  <si>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</si>
  <si>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</si>
  <si>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</si>
  <si>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</si>
  <si>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</si>
  <si>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</si>
  <si>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</si>
  <si>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</si>
  <si>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</si>
  <si>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</si>
  <si>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</si>
  <si>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</si>
  <si>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</si>
  <si>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</si>
  <si>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</si>
  <si>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</si>
  <si>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</si>
  <si>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</si>
  <si>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</si>
  <si>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</si>
  <si>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</si>
  <si>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</si>
  <si>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</si>
  <si>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</si>
  <si>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</si>
  <si>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</si>
  <si>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</si>
  <si>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</si>
  <si>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</si>
  <si>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</si>
  <si>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</si>
  <si>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</si>
  <si>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</si>
  <si>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</si>
  <si>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</si>
  <si>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</si>
  <si>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</si>
  <si>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</si>
  <si>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</si>
  <si>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</si>
  <si>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</si>
  <si>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</si>
  <si>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</si>
  <si>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</si>
  <si>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</si>
  <si>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</si>
  <si>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</si>
  <si>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</si>
  <si>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</si>
  <si>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</si>
  <si>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</si>
  <si>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</si>
  <si>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</si>
  <si>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</si>
  <si>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</si>
  <si>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</si>
  <si>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</si>
  <si>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</si>
  <si>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</si>
  <si>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</si>
  <si>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</si>
  <si>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</si>
  <si>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</si>
  <si>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</si>
  <si>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</si>
  <si>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</si>
  <si>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</si>
  <si>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</si>
  <si>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</si>
  <si>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</si>
  <si>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</si>
  <si>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</si>
  <si>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</si>
  <si>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</si>
  <si>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</si>
  <si>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</si>
  <si>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</si>
  <si>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</si>
  <si>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</si>
  <si>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</si>
  <si>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</si>
  <si>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</si>
  <si>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</si>
  <si>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</si>
  <si>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</si>
  <si>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</si>
  <si>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</si>
  <si>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</si>
  <si>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</si>
  <si>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</si>
  <si>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</si>
  <si>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</si>
  <si>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</si>
  <si>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</si>
  <si>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</si>
  <si>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</si>
  <si>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</si>
  <si>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</si>
  <si>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</si>
  <si>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</si>
  <si>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</si>
  <si>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</si>
  <si>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</si>
  <si>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</si>
  <si>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</si>
  <si>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</si>
  <si>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</si>
  <si>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</si>
  <si>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</si>
  <si>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</si>
  <si>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</si>
  <si>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</si>
  <si>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</si>
  <si>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</si>
  <si>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</si>
  <si>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</si>
  <si>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</si>
  <si>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</si>
  <si>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</si>
  <si>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</si>
  <si>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</si>
  <si>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</si>
  <si>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</si>
  <si>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</si>
  <si>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</si>
  <si>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</si>
  <si>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</si>
  <si>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</si>
  <si>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</si>
  <si>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</si>
  <si>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</si>
  <si>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</si>
  <si>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</si>
  <si>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</si>
  <si>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</si>
  <si>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</si>
  <si>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</si>
  <si>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</si>
  <si>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</si>
  <si>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</si>
  <si>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</si>
  <si>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</si>
  <si>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</si>
  <si>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</si>
  <si>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</si>
  <si>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</si>
  <si>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</si>
  <si>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</si>
  <si>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</si>
  <si>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</si>
  <si>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</si>
  <si>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</si>
  <si>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</si>
  <si>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</si>
  <si>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</si>
  <si>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</si>
  <si>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</si>
  <si>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</si>
  <si>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</si>
  <si>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</si>
  <si>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</si>
  <si>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</si>
  <si>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</si>
  <si>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</si>
  <si>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</si>
  <si>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</si>
  <si>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</si>
  <si>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</si>
  <si>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</si>
  <si>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</si>
  <si>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</si>
  <si>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</si>
  <si>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</si>
  <si>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</si>
  <si>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</si>
  <si>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</si>
  <si>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</si>
  <si>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</si>
  <si>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</si>
  <si>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</si>
  <si>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</si>
  <si>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</si>
  <si>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</si>
  <si>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</si>
  <si>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</si>
  <si>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</si>
  <si>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</si>
  <si>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</si>
  <si>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</si>
  <si>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</si>
  <si>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</si>
  <si>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</si>
  <si>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</si>
  <si>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</si>
  <si>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</si>
  <si>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</si>
  <si>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</si>
  <si>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</si>
  <si>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</si>
  <si>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</si>
  <si>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</si>
  <si>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</si>
  <si>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</si>
  <si>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</si>
  <si>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</si>
  <si>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</si>
  <si>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</si>
  <si>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</si>
  <si>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</si>
  <si>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</si>
  <si>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</si>
  <si>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</si>
  <si>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</si>
  <si>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</si>
  <si>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</si>
  <si>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</si>
  <si>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</si>
  <si>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</si>
  <si>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</si>
  <si>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</si>
  <si>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</si>
  <si>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</si>
  <si>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</si>
  <si>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</si>
  <si>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</si>
  <si>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</si>
  <si>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</si>
  <si>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</si>
  <si>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</si>
  <si>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</si>
  <si>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</si>
  <si>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</si>
  <si>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</si>
  <si>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</si>
  <si>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</si>
  <si>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</si>
  <si>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</si>
  <si>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</si>
  <si>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</si>
  <si>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</si>
  <si>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</si>
  <si>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</si>
  <si>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</si>
  <si>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</si>
  <si>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</si>
  <si>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</si>
  <si>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</si>
  <si>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</si>
  <si>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</si>
  <si>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</si>
  <si>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</si>
  <si>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</si>
  <si>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</si>
  <si>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</si>
  <si>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</si>
  <si>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</si>
  <si>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</si>
  <si>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</si>
  <si>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</si>
  <si>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</si>
  <si>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</si>
  <si>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</si>
  <si>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</si>
  <si>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</si>
  <si>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</si>
  <si>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</si>
  <si>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</si>
  <si>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</si>
  <si>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</si>
  <si>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</si>
  <si>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</si>
  <si>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</si>
  <si>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</si>
  <si>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</si>
  <si>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</si>
  <si>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</si>
  <si>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</si>
  <si>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</si>
  <si>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</si>
  <si>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</si>
  <si>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</si>
  <si>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</si>
  <si>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</si>
  <si>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</si>
  <si>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</si>
  <si>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</si>
  <si>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</si>
  <si>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</si>
  <si>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</si>
  <si>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</si>
  <si>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</si>
  <si>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</si>
  <si>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</si>
  <si>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</si>
  <si>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</si>
  <si>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</si>
  <si>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</si>
  <si>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</si>
  <si>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</si>
  <si>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</si>
  <si>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</si>
  <si>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</si>
  <si>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</si>
  <si>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</si>
  <si>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</si>
  <si>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</si>
  <si>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</si>
  <si>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</si>
  <si>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</si>
  <si>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</si>
  <si>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</si>
  <si>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</si>
  <si>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</si>
  <si>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</si>
  <si>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</si>
  <si>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</si>
  <si>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</si>
  <si>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</si>
  <si>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</si>
  <si>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</si>
  <si>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</si>
  <si>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</si>
  <si>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</si>
  <si>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</si>
  <si>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</si>
  <si>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</si>
  <si>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</si>
  <si>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</si>
  <si>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</si>
  <si>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</si>
  <si>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</si>
  <si>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</si>
  <si>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</si>
  <si>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</si>
  <si>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</si>
  <si>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</si>
  <si>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</si>
  <si>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</si>
  <si>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</si>
  <si>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</si>
  <si>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</si>
  <si>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</si>
  <si>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</si>
  <si>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</si>
  <si>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</si>
  <si>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</si>
  <si>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</si>
  <si>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</si>
  <si>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</si>
  <si>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</si>
  <si>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</si>
  <si>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</si>
  <si>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</si>
  <si>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</si>
  <si>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</si>
  <si>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</si>
  <si>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</si>
  <si>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</si>
  <si>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</si>
  <si>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</si>
  <si>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</si>
  <si>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</si>
  <si>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</si>
  <si>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</si>
  <si>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</si>
  <si>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</si>
  <si>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</si>
  <si>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</si>
  <si>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</si>
  <si>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</si>
  <si>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</si>
  <si>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</si>
  <si>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</si>
  <si>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</si>
  <si>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</si>
  <si>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</si>
  <si>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</si>
  <si>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</si>
  <si>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</si>
  <si>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</si>
  <si>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</si>
  <si>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</si>
  <si>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</si>
  <si>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</si>
  <si>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</si>
  <si>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</si>
  <si>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</si>
  <si>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</si>
  <si>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</si>
  <si>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</si>
  <si>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</si>
  <si>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</si>
  <si>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</si>
  <si>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</si>
  <si>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</si>
  <si>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</si>
  <si>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</si>
  <si>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</si>
  <si>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</si>
  <si>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</si>
  <si>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</si>
  <si>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</si>
  <si>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</si>
  <si>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</si>
  <si>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</si>
  <si>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</si>
  <si>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</si>
  <si>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</si>
  <si>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</si>
  <si>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</si>
  <si>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</si>
  <si>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</si>
  <si>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</si>
  <si>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</si>
  <si>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</si>
  <si>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</si>
  <si>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</si>
  <si>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</si>
  <si>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</si>
  <si>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</si>
  <si>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</si>
  <si>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</si>
  <si>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</si>
  <si>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</si>
  <si>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</si>
  <si>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</si>
  <si>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</si>
  <si>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</si>
  <si>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</si>
  <si>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</si>
  <si>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</si>
  <si>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</si>
  <si>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</si>
  <si>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</si>
  <si>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</si>
  <si>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</si>
  <si>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</si>
  <si>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</si>
  <si>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</si>
  <si>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</si>
  <si>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</si>
  <si>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</si>
  <si>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</si>
  <si>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</si>
  <si>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</si>
  <si>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</si>
  <si>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</si>
  <si>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</si>
  <si>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</si>
  <si>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</si>
  <si>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</si>
  <si>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</si>
  <si>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</si>
  <si>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</si>
  <si>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</si>
  <si>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</si>
  <si>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</si>
  <si>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</si>
  <si>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</si>
  <si>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</si>
  <si>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</si>
  <si>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</si>
  <si>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</si>
  <si>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</si>
  <si>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</si>
  <si>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</si>
  <si>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</si>
  <si>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</si>
  <si>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</si>
  <si>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</si>
  <si>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</si>
  <si>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</si>
  <si>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</si>
  <si>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</si>
  <si>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</si>
  <si>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</si>
  <si>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</si>
  <si>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</si>
  <si>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</si>
  <si>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</si>
  <si>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</si>
  <si>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</si>
  <si>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</si>
  <si>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</si>
  <si>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</si>
  <si>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</si>
  <si>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</si>
  <si>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</si>
  <si>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</si>
  <si>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</si>
  <si>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</si>
  <si>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</si>
  <si>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</si>
  <si>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</si>
  <si>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</si>
  <si>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</si>
  <si>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</si>
  <si>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</si>
  <si>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</si>
  <si>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</si>
  <si>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</si>
  <si>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</si>
  <si>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</si>
  <si>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</si>
  <si>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</si>
  <si>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</si>
  <si>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</si>
  <si>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</si>
  <si>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</si>
  <si>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</si>
  <si>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</si>
  <si>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</si>
  <si>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</si>
  <si>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</si>
  <si>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</si>
  <si>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</si>
  <si>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</si>
  <si>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</si>
  <si>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</si>
  <si>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</si>
  <si>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</si>
  <si>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</si>
  <si>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</si>
  <si>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</si>
  <si>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</si>
  <si>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</si>
  <si>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</si>
  <si>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</si>
  <si>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</si>
  <si>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</si>
  <si>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</si>
  <si>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</si>
  <si>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</si>
  <si>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</si>
  <si>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</si>
  <si>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</si>
  <si>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</si>
  <si>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</si>
  <si>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</si>
  <si>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</si>
  <si>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</si>
  <si>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</si>
  <si>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</si>
  <si>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</si>
  <si>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</si>
  <si>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</si>
  <si>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</si>
  <si>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</si>
  <si>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</si>
  <si>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</si>
  <si>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</si>
  <si>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</si>
  <si>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</si>
  <si>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</si>
  <si>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</si>
  <si>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</si>
  <si>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</si>
  <si>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</si>
  <si>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</si>
  <si>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</si>
  <si>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</si>
  <si>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</si>
  <si>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</si>
  <si>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</si>
  <si>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</si>
  <si>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</si>
  <si>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</si>
  <si>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</si>
  <si>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</si>
  <si>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</si>
  <si>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</si>
  <si>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</si>
  <si>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</si>
  <si>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</si>
  <si>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</si>
  <si>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</si>
  <si>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</si>
  <si>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</si>
  <si>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</si>
  <si>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</si>
  <si>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</si>
  <si>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</si>
  <si>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</si>
  <si>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</si>
  <si>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</si>
  <si>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</si>
  <si>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</si>
  <si>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</si>
  <si>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</si>
  <si>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</si>
  <si>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</si>
  <si>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</si>
  <si>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</si>
  <si>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</si>
  <si>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</si>
  <si>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</si>
  <si>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</si>
  <si>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</si>
  <si>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</si>
  <si>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</si>
  <si>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</si>
  <si>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</si>
  <si>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</si>
  <si>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</si>
  <si>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</si>
  <si>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</si>
  <si>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</si>
  <si>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</si>
  <si>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</si>
  <si>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</si>
  <si>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</si>
  <si>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</si>
  <si>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</si>
  <si>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</si>
  <si>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</si>
  <si>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</si>
  <si>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</si>
  <si>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</si>
  <si>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</si>
  <si>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</si>
  <si>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</si>
  <si>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</si>
  <si>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</si>
  <si>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</si>
  <si>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</si>
  <si>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</si>
  <si>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</si>
  <si>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</si>
  <si>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</si>
  <si>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</si>
  <si>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</si>
  <si>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</si>
  <si>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</si>
  <si>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</si>
  <si>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</si>
  <si>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</si>
  <si>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</si>
  <si>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</si>
  <si>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</si>
  <si>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</si>
  <si>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</si>
  <si>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</si>
  <si>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</si>
  <si>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</si>
  <si>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</si>
  <si>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</si>
  <si>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</si>
  <si>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</si>
  <si>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</si>
  <si>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</si>
  <si>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</si>
  <si>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</si>
  <si>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</si>
  <si>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</si>
  <si>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</si>
  <si>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</si>
  <si>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</si>
  <si>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</si>
  <si>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</si>
  <si>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</si>
  <si>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</si>
  <si>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</si>
  <si>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</si>
  <si>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</si>
  <si>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</si>
  <si>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</si>
  <si>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</si>
  <si>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</si>
  <si>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</si>
  <si>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</si>
  <si>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</si>
  <si>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</si>
  <si>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</si>
  <si>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</si>
  <si>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</si>
  <si>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</si>
  <si>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</si>
  <si>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</si>
  <si>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</si>
  <si>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</si>
  <si>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</si>
  <si>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</si>
  <si>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</si>
  <si>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</si>
  <si>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</si>
  <si>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</si>
  <si>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</si>
  <si>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</si>
  <si>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</si>
  <si>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</si>
  <si>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</si>
  <si>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</si>
  <si>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</si>
  <si>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</si>
  <si>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</si>
  <si>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</si>
  <si>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</si>
  <si>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</si>
  <si>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</si>
  <si>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</si>
  <si>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</si>
  <si>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</si>
  <si>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</si>
  <si>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</si>
  <si>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</si>
  <si>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</si>
  <si>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</si>
  <si>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</si>
  <si>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</si>
  <si>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</si>
  <si>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</si>
  <si>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</si>
  <si>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</si>
  <si>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</si>
  <si>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</si>
  <si>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</si>
  <si>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</si>
  <si>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</si>
  <si>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</si>
  <si>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</si>
  <si>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</si>
  <si>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</si>
  <si>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</si>
  <si>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</si>
  <si>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</si>
  <si>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</si>
  <si>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</si>
  <si>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</si>
  <si>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</si>
  <si>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</si>
  <si>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</si>
  <si>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</si>
  <si>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</si>
  <si>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</si>
  <si>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</si>
  <si>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</si>
  <si>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</si>
  <si>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</si>
  <si>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</si>
  <si>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</si>
  <si>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</si>
  <si>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</si>
  <si>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</si>
  <si>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</si>
  <si>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</si>
  <si>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</si>
  <si>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</si>
  <si>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</si>
  <si>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</si>
  <si>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</si>
  <si>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</si>
  <si>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</si>
  <si>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</si>
  <si>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</si>
  <si>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</si>
  <si>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</si>
  <si>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</si>
  <si>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</si>
  <si>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</si>
  <si>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</si>
  <si>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</si>
  <si>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</si>
  <si>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</si>
  <si>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</si>
  <si>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</si>
  <si>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</si>
  <si>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</si>
  <si>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</si>
  <si>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</si>
  <si>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</si>
  <si>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</si>
  <si>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</si>
  <si>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</si>
  <si>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</si>
  <si>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</si>
  <si>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</si>
  <si>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</si>
  <si>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</si>
  <si>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</si>
  <si>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</si>
  <si>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</si>
  <si>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</si>
  <si>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</si>
  <si>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</si>
  <si>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</si>
  <si>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</si>
  <si>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</si>
  <si>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</si>
  <si>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</si>
  <si>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</si>
  <si>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</si>
  <si>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</si>
  <si>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</si>
  <si>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</si>
  <si>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</si>
  <si>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</si>
  <si>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</si>
  <si>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</si>
  <si>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</si>
  <si>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</si>
  <si>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</si>
  <si>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</si>
  <si>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</si>
  <si>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</si>
  <si>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</si>
  <si>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</si>
  <si>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</si>
  <si>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</si>
  <si>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</si>
  <si>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</si>
  <si>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</si>
  <si>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</si>
  <si>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</si>
  <si>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</si>
  <si>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</si>
  <si>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</si>
  <si>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</si>
  <si>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</si>
  <si>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</si>
  <si>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</si>
  <si>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</si>
  <si>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</si>
  <si>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</si>
  <si>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</si>
  <si>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</si>
  <si>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</si>
  <si>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</si>
  <si>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</si>
  <si>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</si>
  <si>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</si>
  <si>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</si>
  <si>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</si>
  <si>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</si>
  <si>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</si>
  <si>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</si>
  <si>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</si>
  <si>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</si>
  <si>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</si>
  <si>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</si>
  <si>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</si>
  <si>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</si>
  <si>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</si>
  <si>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</si>
  <si>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</si>
  <si>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</si>
  <si>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</si>
  <si>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</si>
  <si>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</si>
  <si>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</si>
  <si>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</si>
  <si>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</si>
  <si>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</si>
  <si>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</si>
  <si>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</si>
  <si>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</si>
  <si>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</si>
  <si>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</si>
  <si>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</si>
  <si>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</si>
  <si>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</si>
  <si>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</si>
  <si>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</si>
  <si>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</si>
  <si>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</si>
  <si>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</si>
  <si>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</si>
  <si>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</si>
  <si>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</si>
  <si>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</si>
  <si>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</si>
  <si>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</si>
  <si>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</si>
  <si>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</si>
  <si>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</si>
  <si>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</si>
  <si>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</si>
  <si>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</si>
  <si>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</si>
  <si>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</si>
  <si>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</si>
  <si>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</si>
  <si>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</si>
  <si>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</si>
  <si>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</si>
  <si>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</si>
  <si>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</si>
  <si>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</si>
  <si>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</si>
  <si>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</si>
  <si>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</si>
  <si>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</si>
  <si>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</si>
  <si>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</si>
  <si>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</si>
  <si>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</si>
  <si>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</si>
  <si>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</si>
  <si>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</si>
  <si>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</si>
  <si>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</si>
  <si>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</si>
  <si>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</si>
  <si>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</si>
  <si>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</si>
  <si>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</si>
  <si>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</si>
  <si>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</si>
  <si>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</si>
  <si>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</si>
  <si>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</si>
  <si>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</si>
  <si>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</si>
  <si>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</si>
  <si>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</si>
  <si>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</si>
  <si>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</si>
  <si>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</si>
  <si>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</si>
  <si>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</si>
  <si>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</si>
  <si>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</si>
  <si>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</si>
  <si>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</si>
  <si>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</si>
  <si>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</si>
  <si>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</si>
  <si>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</si>
  <si>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</si>
  <si>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</si>
  <si>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</si>
  <si>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</si>
  <si>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</si>
  <si>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</si>
  <si>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</si>
  <si>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</si>
  <si>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</si>
  <si>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</si>
  <si>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</si>
  <si>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</si>
  <si>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</si>
  <si>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</si>
  <si>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</si>
  <si>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</si>
  <si>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</si>
  <si>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</si>
  <si>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</si>
  <si>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</si>
  <si>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</si>
  <si>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</si>
  <si>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</si>
  <si>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</si>
  <si>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</si>
  <si>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</si>
  <si>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</si>
  <si>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</si>
  <si>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</si>
  <si>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</si>
  <si>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</si>
  <si>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</si>
  <si>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</si>
  <si>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</si>
  <si>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</si>
  <si>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</si>
  <si>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</si>
  <si>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</si>
  <si>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</si>
  <si>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</si>
  <si>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</si>
  <si>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</si>
  <si>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</si>
  <si>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</si>
  <si>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</si>
  <si>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</si>
  <si>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</si>
  <si>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</si>
  <si>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</si>
  <si>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</si>
  <si>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</si>
  <si>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</si>
  <si>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</si>
  <si>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</si>
  <si>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</si>
  <si>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</si>
  <si>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</si>
  <si>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</si>
  <si>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</si>
  <si>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</si>
  <si>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</si>
  <si>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</si>
  <si>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</si>
  <si>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</si>
  <si>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</si>
  <si>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</si>
  <si>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</si>
  <si>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</si>
  <si>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</si>
  <si>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</si>
  <si>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</si>
  <si>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</si>
  <si>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</si>
  <si>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</si>
  <si>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</si>
  <si>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</si>
  <si>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</si>
  <si>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</si>
  <si>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</si>
  <si>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</si>
  <si>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</si>
  <si>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</si>
  <si>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</si>
  <si>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</si>
  <si>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</si>
  <si>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</si>
  <si>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</si>
  <si>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</si>
  <si>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</si>
  <si>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</si>
  <si>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</si>
  <si>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</si>
  <si>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</si>
  <si>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</si>
  <si>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</si>
  <si>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</si>
  <si>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</si>
  <si>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</si>
  <si>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</si>
  <si>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</si>
  <si>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</si>
  <si>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</si>
  <si>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</si>
  <si>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</si>
  <si>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</si>
  <si>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</si>
  <si>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</si>
  <si>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</si>
  <si>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</si>
  <si>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</si>
  <si>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</si>
  <si>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</si>
  <si>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</si>
  <si>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</si>
  <si>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</si>
  <si>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</si>
  <si>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</si>
  <si>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</si>
  <si>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</si>
  <si>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</si>
  <si>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</si>
  <si>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</si>
  <si>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</si>
  <si>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</si>
  <si>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</si>
  <si>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</si>
  <si>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</si>
  <si>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</si>
  <si>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</si>
  <si>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</si>
  <si>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</si>
  <si>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</si>
  <si>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</si>
  <si>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</si>
  <si>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</si>
  <si>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</si>
  <si>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</si>
  <si>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</si>
  <si>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</si>
  <si>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</si>
  <si>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</si>
  <si>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</si>
  <si>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</si>
  <si>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</si>
  <si>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</si>
  <si>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</si>
  <si>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</si>
  <si>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</si>
  <si>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</si>
  <si>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</si>
  <si>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</si>
  <si>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</si>
  <si>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</si>
  <si>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</si>
  <si>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</si>
  <si>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</si>
  <si>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</si>
  <si>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</si>
  <si>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</si>
  <si>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</si>
  <si>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</si>
  <si>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</si>
  <si>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</si>
  <si>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</si>
  <si>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</si>
  <si>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</si>
  <si>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</si>
  <si>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</si>
  <si>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</si>
  <si>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</si>
  <si>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</si>
  <si>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</si>
  <si>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</si>
  <si>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</si>
  <si>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</si>
  <si>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</si>
  <si>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</si>
  <si>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</si>
  <si>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</si>
  <si>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</si>
  <si>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</si>
  <si>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</si>
  <si>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</si>
  <si>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</si>
  <si>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</si>
  <si>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</si>
  <si>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</si>
  <si>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</si>
  <si>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</si>
  <si>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</si>
  <si>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</si>
  <si>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</si>
  <si>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</si>
  <si>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</si>
  <si>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</si>
  <si>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</si>
  <si>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</si>
  <si>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</si>
  <si>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</si>
  <si>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</si>
  <si>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</si>
  <si>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</si>
  <si>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</si>
  <si>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</si>
  <si>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</si>
  <si>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</si>
  <si>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</si>
  <si>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</si>
  <si>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</si>
  <si>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</si>
  <si>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</si>
  <si>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</si>
  <si>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</si>
  <si>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</si>
  <si>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</si>
  <si>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</si>
  <si>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</si>
  <si>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</si>
  <si>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</si>
  <si>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</si>
  <si>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</si>
  <si>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</si>
  <si>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</si>
  <si>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</si>
  <si>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</si>
  <si>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</si>
  <si>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</si>
  <si>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</si>
  <si>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</si>
  <si>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</si>
  <si>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</si>
  <si>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</si>
  <si>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</si>
  <si>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</si>
  <si>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</si>
  <si>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</si>
  <si>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</si>
  <si>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</si>
  <si>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</si>
  <si>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</si>
  <si>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</si>
  <si>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</si>
  <si>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</si>
  <si>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</si>
  <si>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</si>
  <si>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</si>
  <si>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</si>
  <si>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</si>
  <si>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</si>
  <si>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</si>
  <si>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</si>
  <si>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</si>
  <si>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</si>
  <si>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</si>
  <si>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</si>
  <si>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</si>
  <si>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</si>
  <si>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</si>
  <si>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</si>
  <si>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</si>
  <si>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</si>
  <si>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</si>
  <si>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</si>
  <si>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</si>
  <si>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</si>
  <si>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</si>
  <si>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</si>
  <si>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</si>
  <si>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</si>
  <si>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</si>
  <si>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</si>
  <si>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</si>
  <si>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</si>
  <si>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</si>
  <si>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</si>
  <si>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</si>
  <si>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</si>
  <si>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</si>
  <si>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</si>
  <si>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</si>
  <si>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</si>
  <si>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</si>
  <si>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</si>
  <si>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</si>
  <si>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</si>
  <si>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</si>
  <si>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</si>
  <si>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</si>
  <si>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</si>
  <si>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</si>
  <si>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</si>
  <si>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</si>
  <si>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</si>
  <si>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</si>
  <si>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</si>
  <si>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</si>
  <si>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</si>
  <si>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</si>
  <si>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</si>
  <si>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</si>
  <si>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</si>
  <si>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</si>
  <si>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</si>
  <si>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</si>
  <si>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</si>
  <si>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</si>
  <si>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</si>
  <si>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</si>
  <si>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</si>
  <si>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</si>
  <si>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</si>
  <si>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</si>
  <si>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</si>
  <si>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</si>
  <si>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</si>
  <si>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</si>
  <si>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</si>
  <si>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</si>
  <si>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</si>
  <si>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</si>
  <si>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</si>
  <si>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</si>
  <si>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</si>
  <si>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</si>
  <si>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</si>
  <si>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</si>
  <si>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</si>
  <si>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</si>
  <si>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</si>
  <si>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</si>
  <si>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</si>
  <si>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</si>
  <si>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</si>
  <si>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</si>
  <si>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</si>
  <si>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</si>
  <si>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</si>
  <si>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</si>
  <si>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</si>
  <si>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</si>
  <si>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</si>
  <si>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</si>
  <si>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</si>
  <si>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</si>
  <si>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</si>
  <si>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</si>
  <si>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</si>
  <si>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</si>
  <si>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</si>
  <si>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</si>
  <si>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</si>
  <si>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</si>
  <si>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</si>
  <si>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</si>
  <si>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</si>
  <si>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</si>
  <si>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</si>
  <si>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</si>
  <si>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</si>
  <si>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</si>
  <si>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</si>
  <si>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</si>
  <si>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</si>
  <si>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</si>
  <si>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</si>
  <si>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</si>
  <si>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</si>
  <si>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</si>
  <si>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</si>
  <si>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</si>
  <si>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</si>
  <si>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</si>
  <si>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</si>
  <si>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</si>
  <si>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</si>
  <si>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</si>
  <si>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</si>
  <si>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</si>
  <si>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</si>
  <si>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</si>
  <si>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</si>
  <si>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</si>
  <si>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</si>
  <si>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</si>
  <si>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</si>
  <si>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</si>
  <si>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</si>
  <si>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</si>
  <si>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</si>
  <si>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</si>
  <si>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</si>
  <si>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</si>
  <si>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</si>
  <si>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</si>
  <si>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</si>
  <si>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</si>
  <si>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</si>
  <si>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</si>
  <si>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</si>
  <si>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</si>
  <si>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</si>
  <si>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</si>
  <si>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</si>
  <si>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</si>
  <si>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</si>
  <si>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</si>
  <si>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</si>
  <si>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</si>
  <si>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</si>
  <si>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</si>
  <si>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</si>
  <si>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</si>
  <si>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</si>
  <si>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</si>
  <si>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</si>
  <si>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</si>
  <si>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</si>
  <si>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</si>
  <si>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</si>
  <si>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</si>
  <si>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</si>
  <si>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</si>
  <si>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</si>
  <si>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</si>
  <si>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</si>
  <si>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</si>
  <si>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</si>
  <si>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</si>
  <si>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</si>
  <si>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</si>
  <si>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</si>
  <si>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</si>
  <si>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</si>
  <si>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</si>
  <si>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</si>
  <si>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</si>
  <si>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</si>
  <si>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</si>
  <si>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</si>
  <si>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</si>
  <si>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</si>
  <si>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</si>
  <si>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</si>
  <si>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</si>
  <si>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</si>
  <si>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</si>
  <si>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</si>
  <si>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</si>
  <si>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</si>
  <si>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</si>
  <si>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</si>
  <si>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</si>
  <si>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</si>
  <si>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</si>
  <si>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</si>
  <si>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</si>
  <si>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</si>
  <si>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</si>
  <si>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</si>
  <si>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</si>
  <si>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</si>
  <si>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</si>
  <si>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</si>
  <si>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</si>
  <si>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</si>
  <si>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</si>
  <si>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</si>
  <si>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</si>
  <si>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</si>
  <si>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</si>
  <si>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</si>
  <si>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</si>
  <si>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</si>
  <si>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</si>
  <si>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</si>
  <si>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</si>
  <si>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</si>
  <si>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</si>
  <si>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</si>
  <si>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</si>
  <si>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</si>
  <si>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</si>
  <si>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</si>
  <si>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</si>
  <si>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</si>
  <si>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</si>
  <si>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</si>
  <si>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</si>
  <si>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</si>
  <si>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</si>
  <si>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</si>
  <si>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</si>
  <si>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</si>
  <si>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</si>
  <si>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</si>
  <si>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</si>
  <si>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</si>
  <si>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</si>
  <si>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</si>
  <si>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</si>
  <si>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</si>
  <si>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</si>
  <si>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</si>
  <si>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</si>
  <si>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</si>
  <si>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</si>
  <si>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</si>
  <si>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</si>
  <si>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</si>
  <si>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</si>
  <si>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</si>
  <si>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</si>
  <si>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</si>
  <si>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</si>
  <si>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</si>
  <si>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</si>
  <si>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</si>
  <si>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</si>
  <si>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</si>
  <si>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</si>
  <si>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</si>
  <si>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</si>
  <si>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</si>
  <si>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</si>
  <si>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</si>
  <si>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</si>
  <si>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</si>
  <si>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</si>
  <si>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</si>
  <si>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</si>
  <si>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</si>
  <si>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</si>
  <si>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</si>
  <si>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</si>
  <si>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</si>
  <si>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</si>
  <si>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</si>
  <si>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</si>
  <si>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</si>
  <si>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</si>
  <si>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</si>
  <si>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</si>
  <si>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</si>
  <si>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</si>
  <si>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</si>
  <si>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</si>
  <si>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</si>
  <si>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</si>
  <si>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</si>
  <si>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</si>
  <si>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</si>
  <si>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</si>
  <si>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</si>
  <si>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</si>
  <si>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</si>
  <si>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</si>
  <si>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</si>
  <si>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</si>
  <si>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</si>
  <si>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</si>
  <si>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</si>
  <si>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</si>
  <si>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</si>
  <si>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</si>
  <si>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</si>
  <si>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</si>
  <si>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</si>
  <si>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</si>
  <si>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</si>
  <si>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</si>
  <si>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</si>
  <si>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</si>
  <si>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</si>
  <si>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</si>
  <si>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</si>
  <si>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</si>
  <si>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</si>
  <si>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</si>
  <si>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</si>
  <si>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</si>
  <si>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</si>
  <si>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</si>
  <si>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</si>
  <si>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</si>
  <si>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</si>
  <si>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</si>
  <si>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</si>
  <si>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</si>
  <si>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</si>
  <si>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</si>
  <si>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</si>
  <si>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</si>
  <si>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</si>
  <si>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</si>
  <si>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</si>
  <si>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</si>
  <si>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</si>
  <si>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</si>
  <si>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</si>
  <si>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</si>
  <si>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</si>
  <si>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</si>
  <si>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</si>
  <si>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</si>
  <si>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</si>
  <si>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</si>
  <si>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</si>
  <si>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</si>
  <si>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</si>
  <si>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</si>
  <si>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</si>
  <si>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</si>
  <si>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</si>
  <si>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</si>
  <si>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</si>
  <si>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</si>
  <si>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</si>
  <si>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</si>
  <si>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</si>
  <si>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</si>
  <si>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</si>
  <si>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</si>
  <si>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</si>
  <si>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</si>
  <si>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</si>
  <si>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</si>
  <si>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</si>
  <si>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</si>
  <si>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</si>
  <si>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</si>
  <si>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</si>
  <si>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</si>
  <si>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</si>
  <si>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</si>
  <si>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</si>
  <si>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</si>
  <si>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</si>
  <si>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</si>
  <si>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</si>
  <si>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</si>
  <si>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</si>
  <si>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</si>
  <si>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</si>
  <si>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</si>
  <si>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</si>
  <si>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</si>
  <si>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</si>
  <si>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</si>
  <si>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</si>
  <si>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</si>
  <si>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</si>
  <si>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</si>
  <si>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</si>
  <si>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</si>
  <si>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</si>
  <si>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</si>
  <si>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</si>
  <si>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</si>
  <si>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</si>
  <si>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</si>
  <si>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</si>
  <si>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</si>
  <si>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</si>
  <si>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</si>
  <si>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</si>
  <si>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</si>
  <si>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</si>
  <si>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</si>
  <si>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</si>
  <si>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</si>
  <si>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</si>
  <si>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</si>
  <si>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</si>
  <si>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</si>
  <si>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</si>
  <si>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</si>
  <si>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</si>
  <si>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</si>
  <si>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</si>
  <si>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</si>
  <si>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</si>
  <si>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</si>
  <si>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</si>
  <si>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</si>
  <si>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</si>
  <si>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</si>
  <si>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</si>
  <si>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</si>
  <si>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</si>
  <si>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</si>
  <si>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</si>
  <si>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</si>
  <si>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</si>
  <si>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</si>
  <si>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</si>
  <si>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</si>
  <si>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</si>
  <si>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</si>
  <si>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</si>
  <si>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</si>
  <si>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</si>
  <si>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</si>
  <si>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</si>
  <si>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</si>
  <si>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</si>
  <si>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</si>
  <si>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</si>
  <si>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</si>
  <si>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</si>
  <si>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</si>
  <si>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</si>
  <si>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</si>
  <si>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</si>
  <si>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</si>
  <si>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</si>
  <si>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</si>
  <si>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</si>
  <si>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</si>
  <si>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</si>
  <si>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</si>
  <si>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</si>
  <si>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</si>
  <si>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</si>
  <si>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</si>
  <si>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</si>
  <si>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</si>
  <si>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</si>
  <si>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</si>
  <si>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</si>
  <si>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</si>
  <si>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</si>
  <si>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</si>
  <si>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</si>
  <si>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</si>
  <si>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</si>
  <si>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</si>
  <si>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</si>
  <si>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</si>
  <si>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</si>
  <si>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</si>
  <si>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</si>
  <si>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</si>
  <si>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</si>
  <si>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</si>
  <si>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</si>
  <si>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</si>
  <si>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</si>
  <si>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</si>
  <si>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</si>
  <si>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</si>
  <si>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</si>
  <si>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</si>
  <si>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</si>
  <si>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</si>
  <si>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</si>
  <si>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</si>
  <si>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</si>
  <si>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</si>
  <si>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</si>
  <si>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</si>
  <si>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</si>
  <si>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</si>
  <si>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</si>
  <si>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</si>
  <si>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</si>
  <si>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</si>
  <si>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</si>
  <si>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</si>
  <si>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</si>
  <si>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</si>
  <si>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</si>
  <si>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</si>
  <si>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</si>
  <si>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</si>
  <si>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</si>
  <si>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</si>
  <si>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</si>
  <si>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</si>
  <si>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</si>
  <si>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</si>
  <si>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</si>
  <si>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</si>
  <si>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</si>
  <si>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</si>
  <si>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</si>
  <si>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</si>
  <si>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</si>
  <si>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</si>
  <si>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</si>
  <si>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</si>
  <si>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</si>
  <si>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</si>
  <si>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</si>
  <si>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</si>
  <si>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</si>
  <si>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</si>
  <si>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</si>
  <si>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</si>
  <si>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</si>
  <si>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</si>
  <si>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</si>
  <si>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</si>
  <si>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</si>
  <si>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</si>
  <si>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</si>
  <si>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</si>
  <si>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</si>
  <si>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</si>
  <si>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</si>
  <si>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</si>
  <si>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</si>
  <si>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</si>
  <si>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</si>
  <si>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</si>
  <si>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</si>
  <si>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</si>
  <si>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</si>
  <si>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</si>
  <si>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</si>
  <si>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</si>
  <si>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</si>
  <si>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</si>
  <si>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</si>
  <si>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</si>
  <si>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</si>
  <si>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</si>
  <si>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</si>
  <si>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</si>
  <si>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</si>
  <si>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</si>
  <si>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</si>
  <si>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</si>
  <si>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</si>
  <si>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</si>
  <si>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</si>
  <si>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</si>
  <si>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</si>
  <si>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</si>
  <si>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</si>
  <si>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</si>
  <si>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</si>
  <si>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</si>
  <si>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</si>
  <si>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</si>
  <si>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</si>
  <si>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</si>
  <si>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</si>
  <si>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</si>
  <si>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</si>
  <si>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</si>
  <si>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</si>
  <si>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</si>
  <si>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</si>
  <si>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</si>
  <si>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</si>
  <si>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</si>
  <si>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</si>
  <si>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</si>
  <si>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</si>
  <si>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</si>
  <si>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</si>
  <si>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</si>
  <si>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</si>
  <si>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</si>
  <si>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</si>
  <si>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</si>
  <si>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</si>
  <si>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</si>
  <si>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</si>
  <si>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</si>
  <si>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</si>
  <si>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</si>
  <si>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</si>
  <si>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</si>
  <si>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</si>
  <si>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</si>
  <si>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</si>
  <si>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</si>
  <si>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</si>
  <si>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</si>
  <si>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</si>
  <si>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</si>
  <si>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</si>
  <si>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</si>
  <si>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</si>
  <si>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</si>
  <si>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</si>
  <si>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</si>
  <si>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</si>
  <si>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</si>
  <si>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</si>
  <si>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</si>
  <si>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</si>
  <si>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</si>
  <si>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</si>
  <si>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</si>
  <si>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</si>
  <si>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</si>
  <si>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</si>
  <si>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</si>
  <si>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</si>
  <si>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</si>
  <si>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</si>
  <si>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</si>
  <si>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</si>
  <si>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</si>
  <si>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</si>
  <si>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</si>
  <si>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</si>
  <si>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</si>
  <si>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</si>
  <si>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</si>
  <si>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</si>
  <si>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</si>
  <si>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</si>
  <si>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</si>
  <si>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</si>
  <si>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</si>
  <si>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</si>
  <si>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</si>
  <si>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</si>
  <si>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</si>
  <si>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</si>
  <si>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</si>
  <si>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</si>
  <si>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</si>
  <si>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</si>
  <si>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</si>
  <si>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</si>
  <si>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</si>
  <si>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</si>
  <si>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</si>
  <si>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</si>
  <si>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</si>
  <si>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</si>
  <si>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</si>
  <si>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</si>
  <si>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</si>
  <si>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</si>
  <si>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</si>
  <si>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</si>
  <si>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</si>
  <si>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</si>
  <si>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</si>
  <si>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</si>
  <si>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</si>
  <si>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</si>
  <si>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</si>
  <si>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</si>
  <si>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</si>
  <si>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</si>
  <si>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</si>
  <si>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</si>
  <si>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</si>
  <si>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</si>
  <si>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</si>
  <si>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</si>
  <si>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</si>
  <si>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</si>
  <si>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</si>
  <si>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</si>
  <si>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</si>
  <si>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</si>
  <si>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</si>
  <si>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</si>
  <si>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</si>
  <si>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</si>
  <si>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</si>
  <si>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</si>
  <si>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</si>
  <si>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</si>
  <si>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</si>
  <si>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</si>
  <si>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</si>
  <si>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</si>
  <si>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</si>
  <si>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</si>
  <si>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</si>
  <si>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</si>
  <si>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</si>
  <si>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</si>
  <si>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</si>
  <si>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</si>
  <si>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</si>
  <si>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</si>
  <si>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</si>
  <si>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</si>
  <si>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</si>
  <si>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</si>
  <si>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</si>
  <si>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</si>
  <si>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</si>
  <si>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</si>
  <si>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</si>
  <si>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</si>
  <si>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</si>
  <si>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</si>
  <si>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</si>
  <si>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</si>
  <si>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</si>
  <si>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</si>
  <si>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</si>
  <si>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</si>
  <si>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</si>
  <si>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</si>
  <si>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</si>
  <si>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</si>
  <si>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</si>
  <si>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</si>
  <si>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</si>
  <si>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</si>
  <si>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</si>
  <si>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</si>
  <si>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</si>
  <si>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</si>
  <si>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</si>
  <si>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</si>
  <si>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</si>
  <si>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</si>
  <si>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</si>
  <si>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</si>
  <si>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</si>
  <si>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</si>
  <si>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</si>
  <si>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</si>
  <si>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</si>
  <si>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</si>
  <si>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</si>
  <si>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</si>
  <si>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</si>
  <si>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</si>
  <si>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2026. gada 2. februāris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</si>
  <si>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2026. gada 2. februāris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</si>
  <si>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2026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</si>
  <si>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t>pirmdiena, 2026. gada 2.februāris</t>
  </si>
  <si>
    <t>Count of Vārds</t>
  </si>
  <si>
    <t>Row Labels</t>
  </si>
  <si>
    <t>Grand Total</t>
  </si>
  <si>
    <t>Average of Ātrums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</si>
</sst>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73" formatCode="0.000"/>
  </numFmts>
  <fonts count="33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2" borderId="3" xfId="2" applyFill="1" applyBorder="1"/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0" fontId="16" fillId="0" borderId="0" xfId="2" applyFont="1" applyBorder="1"/>
    <xf numFmtId="0" fontId="23" fillId="0" borderId="0" xfId="2" applyFont="1" applyBorder="1" applyAlignment="1">
      <alignment vertical="center" wrapText="1"/>
    </xf>
    <xf numFmtId="0" fontId="3" fillId="3" borderId="0" xfId="0" applyFont="1" applyFill="1" applyBorder="1"/>
    <xf numFmtId="0" fontId="15" fillId="0" borderId="0" xfId="2" applyFont="1" applyBorder="1"/>
    <xf numFmtId="0" fontId="16" fillId="3" borderId="0" xfId="2" applyFont="1" applyFill="1" applyBorder="1" applyAlignment="1">
      <alignment horizontal="center"/>
    </xf>
    <xf numFmtId="0" fontId="12" fillId="3" borderId="0" xfId="2" applyFill="1" applyBorder="1"/>
    <xf numFmtId="0" fontId="14" fillId="0" borderId="3" xfId="2" applyFont="1" applyBorder="1"/>
    <xf numFmtId="0" fontId="19" fillId="3" borderId="3" xfId="2" applyFont="1" applyFill="1" applyBorder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 wrapText="1"/>
    </xf>
    <xf numFmtId="165" fontId="14" fillId="3" borderId="3" xfId="3" applyNumberFormat="1" applyFont="1" applyFill="1" applyBorder="1" applyAlignment="1">
      <alignment horizontal="center"/>
    </xf>
    <xf numFmtId="9" fontId="16" fillId="3" borderId="3" xfId="4" applyFont="1" applyFill="1" applyBorder="1" applyAlignment="1">
      <alignment horizontal="center"/>
    </xf>
    <xf numFmtId="0" fontId="16" fillId="0" borderId="3" xfId="2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2" fillId="0" borderId="0" xfId="2" applyAlignment="1">
      <alignment horizontal="center"/>
    </xf>
    <xf numFmtId="0" fontId="1" fillId="0" borderId="0" xfId="0" applyFont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8" fillId="0" borderId="0" xfId="2" applyFont="1" applyBorder="1" applyAlignment="1">
      <alignment horizontal="center" vertical="center" wrapText="1"/>
    </xf>
    <xf numFmtId="0" fontId="15" fillId="3" borderId="3" xfId="2" applyFont="1" applyFill="1" applyBorder="1" applyAlignment="1">
      <alignment horizontal="right"/>
    </xf>
    <xf numFmtId="0" fontId="15" fillId="3" borderId="1" xfId="2" applyFont="1" applyFill="1" applyBorder="1" applyAlignment="1">
      <alignment horizontal="right"/>
    </xf>
    <xf numFmtId="0" fontId="3" fillId="2" borderId="0" xfId="0" applyFont="1" applyFill="1" applyBorder="1" applyAlignment="1">
      <alignment horizontal="center" wrapText="1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2" fontId="8" fillId="2" borderId="3" xfId="1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/>
    <xf numFmtId="0" fontId="1" fillId="0" borderId="0" xfId="0" applyFont="1" applyAlignment="1">
      <alignment horizontal="left" wrapText="1"/>
    </xf>
    <xf numFmtId="173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(perimetrs!$B$3,perimetrs!$B$11:$B$18)</c:f>
              <c:numCache>
                <c:formatCode>General</c:formatCode>
                <c:ptCount val="9"/>
                <c:pt idx="0">
                  <c:v>10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D-48C1-AA9C-27AC499726A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(perimetrs!$C$3,perimetrs!$C$11:$C$18)</c:f>
              <c:numCache>
                <c:formatCode>General</c:formatCode>
                <c:ptCount val="9"/>
                <c:pt idx="0">
                  <c:v>80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50</c:v>
                </c:pt>
                <c:pt idx="5">
                  <c:v>40</c:v>
                </c:pt>
                <c:pt idx="6">
                  <c:v>30</c:v>
                </c:pt>
                <c:pt idx="7">
                  <c:v>20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D-48C1-AA9C-27AC499726A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(perimetrs!$E$3,perimetrs!$E$11:$E$18)</c:f>
              <c:numCache>
                <c:formatCode>General</c:formatCode>
                <c:ptCount val="9"/>
                <c:pt idx="0">
                  <c:v>43.169118613582768</c:v>
                </c:pt>
                <c:pt idx="1">
                  <c:v>64.753677920374145</c:v>
                </c:pt>
                <c:pt idx="2">
                  <c:v>68.451382923347296</c:v>
                </c:pt>
                <c:pt idx="3">
                  <c:v>70.980762113533146</c:v>
                </c:pt>
                <c:pt idx="4">
                  <c:v>72.264961584165519</c:v>
                </c:pt>
                <c:pt idx="5">
                  <c:v>72.264961584165519</c:v>
                </c:pt>
                <c:pt idx="6">
                  <c:v>70.980762113533146</c:v>
                </c:pt>
                <c:pt idx="7">
                  <c:v>68.451382923347325</c:v>
                </c:pt>
                <c:pt idx="8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D-48C1-AA9C-27AC4997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940447"/>
        <c:axId val="1722940863"/>
      </c:lineChart>
      <c:catAx>
        <c:axId val="1722940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722940863"/>
        <c:crosses val="autoZero"/>
        <c:auto val="1"/>
        <c:lblAlgn val="ctr"/>
        <c:lblOffset val="100"/>
        <c:noMultiLvlLbl val="0"/>
      </c:catAx>
      <c:valAx>
        <c:axId val="172294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72294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Dalībnieku skaita sadalījums atkarībā no to vidējā ātruma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8C55B9B0-392D-4168-963B-6D56F0A3F43E}">
          <cx:tx>
            <cx:txData>
              <cx:f>_xlchart.v1.5</cx:f>
              <cx:v>Ātrums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lv-LV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Vidējais ātrums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lv-LV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dalībnieku skaits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28575</xdr:rowOff>
    </xdr:from>
    <xdr:to>
      <xdr:col>22</xdr:col>
      <xdr:colOff>304800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E882C-A2C5-4E37-ACDC-79666B724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16</xdr:row>
      <xdr:rowOff>0</xdr:rowOff>
    </xdr:from>
    <xdr:to>
      <xdr:col>14</xdr:col>
      <xdr:colOff>514350</xdr:colOff>
      <xdr:row>32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A123065-4019-4A89-B543-CFA4B37D00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00" y="2647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īcija Gailīte" refreshedDate="46064.646272337966" createdVersion="7" refreshedVersion="7" minRefreshableVersion="3" recordCount="1486" xr:uid="{1D964F6F-190A-4410-B528-9C9ED0E777E1}">
  <cacheSource type="worksheet">
    <worksheetSource ref="A1:G1487" sheet="velo"/>
  </cacheSource>
  <cacheFields count="7">
    <cacheField name="Nr" numFmtId="0">
      <sharedItems count="810">
        <s v="240"/>
        <s v="219"/>
        <s v="621"/>
        <s v="714"/>
        <s v="610"/>
        <s v="131"/>
        <s v="220"/>
        <s v="419"/>
        <s v="535"/>
        <s v="226"/>
        <s v="623"/>
        <s v="104"/>
        <s v="241"/>
        <s v="242"/>
        <s v="968"/>
        <s v="921"/>
        <s v="106"/>
        <s v="127"/>
        <s v="142"/>
        <s v="822"/>
        <s v="289"/>
        <s v="130"/>
        <s v="107"/>
        <s v="221"/>
        <s v="216"/>
        <s v="592"/>
        <s v="593"/>
        <s v="7"/>
        <s v="223"/>
        <s v="105"/>
        <s v="672"/>
        <s v="500"/>
        <s v="357"/>
        <s v="436"/>
        <s v="12"/>
        <s v="1"/>
        <s v="102"/>
        <s v="326"/>
        <s v="245"/>
        <s v="267"/>
        <s v="275"/>
        <s v="298"/>
        <s v="689"/>
        <s v="687"/>
        <s v="688"/>
        <s v="870"/>
        <s v="265"/>
        <s v="951"/>
        <s v="209"/>
        <s v="435"/>
        <s v="6"/>
        <s v="133"/>
        <s v="576"/>
        <s v="215"/>
        <s v="660"/>
        <s v="680"/>
        <s v="659"/>
        <s v="204"/>
        <s v="30"/>
        <s v="232"/>
        <s v="387"/>
        <s v="511"/>
        <s v="103"/>
        <s v="512"/>
        <s v="201"/>
        <s v="126"/>
        <s v="857"/>
        <s v="124"/>
        <s v="72"/>
        <s v="73"/>
        <s v="224"/>
        <s v="424"/>
        <s v="379"/>
        <s v="128"/>
        <s v="134"/>
        <s v="44"/>
        <s v="246"/>
        <s v="11"/>
        <s v="140"/>
        <s v="375"/>
        <s v="214"/>
        <s v="37"/>
        <s v="50"/>
        <s v="119"/>
        <s v="820"/>
        <s v="235"/>
        <s v="312"/>
        <s v="854"/>
        <s v="249"/>
        <s v="118"/>
        <s v="202"/>
        <s v="203"/>
        <s v="207"/>
        <s v="231"/>
        <s v="244"/>
        <s v="316"/>
        <s v="706"/>
        <s v="206"/>
        <s v="701"/>
        <s v="340"/>
        <s v="122"/>
        <s v="55"/>
        <s v="439"/>
        <s v="467"/>
        <s v="800"/>
        <s v="247"/>
        <s v="261"/>
        <s v="278"/>
        <s v="426"/>
        <s v="445"/>
        <s v="478"/>
        <s v="758"/>
        <s v="772"/>
        <s v="801"/>
        <s v="808"/>
        <s v="935"/>
        <s v="949"/>
        <s v="239"/>
        <s v="217"/>
        <s v="218"/>
        <s v="228"/>
        <s v="819"/>
        <s v="307"/>
        <s v="409"/>
        <s v="842"/>
        <s v="742"/>
        <s v="648"/>
        <s v="358"/>
        <s v="474"/>
        <s v="768"/>
        <s v="647"/>
        <s v="243"/>
        <s v="227"/>
        <s v="781"/>
        <s v="563"/>
        <s v="56"/>
        <s v="225"/>
        <s v="302"/>
        <s v="911"/>
        <s v="211"/>
        <s v="213"/>
        <s v="208"/>
        <s v="700"/>
        <s v="698"/>
        <s v="708"/>
        <s v="460"/>
        <s v="100"/>
        <s v="323"/>
        <s v="942"/>
        <s v="943"/>
        <s v="664"/>
        <s v="497"/>
        <s v="291"/>
        <s v="487"/>
        <s v="644"/>
        <s v="645"/>
        <s v="440"/>
        <s v="565"/>
        <s v="234"/>
        <s v="210"/>
        <s v="760"/>
        <s v="562"/>
        <s v="43"/>
        <s v="553"/>
        <s v="212"/>
        <s v="584"/>
        <s v="48"/>
        <s v="769"/>
        <s v="26"/>
        <s v="786"/>
        <s v="233"/>
        <s v="906"/>
        <s v="200"/>
        <s v="230"/>
        <s v="600"/>
        <s v="120"/>
        <s v="121"/>
        <s v="507"/>
        <s v="508"/>
        <s v="321"/>
        <s v="683"/>
        <s v="956"/>
        <s v="236"/>
        <s v="481"/>
        <s v="222"/>
        <s v="526"/>
        <s v="318"/>
        <s v="987"/>
        <s v="862"/>
        <s v="863"/>
        <s v="855"/>
        <s v="556"/>
        <s v="52"/>
        <s v="237"/>
        <s v="123"/>
        <s v="741"/>
        <s v="740"/>
        <s v="125"/>
        <s v="101"/>
        <s v="383"/>
        <s v="923"/>
        <s v="771"/>
        <s v="519"/>
        <s v="354"/>
        <s v="650"/>
        <s v="924"/>
        <s v="766"/>
        <s v="238"/>
        <s v="109"/>
        <s v="132"/>
        <s v="355"/>
        <s v="80"/>
        <s v="618"/>
        <s v="617"/>
        <s v="21"/>
        <s v="277"/>
        <s v="895"/>
        <s v="529"/>
        <s v="828"/>
        <s v="351"/>
        <s v="257"/>
        <s v="652"/>
        <s v="896"/>
        <s v="282"/>
        <s v="229"/>
        <s v="632"/>
        <s v="205"/>
        <s v="628"/>
        <s v="892"/>
        <s v="386"/>
        <s v="860"/>
        <s v="861"/>
        <s v="5"/>
        <s v="71"/>
        <s v="720"/>
        <s v="953"/>
        <s v="271"/>
        <s v="58"/>
        <s v="751"/>
        <s v="752"/>
        <s v="90"/>
        <s v="837"/>
        <s v="29"/>
        <s v="750"/>
        <s v="651"/>
        <s v="141"/>
        <s v="4"/>
        <s v="509"/>
        <s v="868"/>
        <s v="869"/>
        <s v="676"/>
        <s v="49"/>
        <s v="520"/>
        <s v="890"/>
        <s v="779"/>
        <s v="988"/>
        <s v="990"/>
        <s v="557"/>
        <s v="541"/>
        <s v="839"/>
        <s v="347"/>
        <s v="368"/>
        <s v="773"/>
        <s v="753"/>
        <s v="754"/>
        <s v="732"/>
        <s v="730"/>
        <s v="280"/>
        <s v="34"/>
        <s v="70"/>
        <s v="523"/>
        <s v="824"/>
        <s v="76"/>
        <s v="482"/>
        <s v="825"/>
        <s v="731"/>
        <s v="957"/>
        <s v="993"/>
        <s v="851"/>
        <s v="719"/>
        <s v="909"/>
        <s v="997"/>
        <s v="718"/>
        <s v="940"/>
        <s v="514"/>
        <s v="448"/>
        <s v="560"/>
        <s v="352"/>
        <s v="709"/>
        <s v="598"/>
        <s v="393"/>
        <s v="783"/>
        <s v="678"/>
        <s v="23"/>
        <s v="412"/>
        <s v="785"/>
        <s v="295"/>
        <s v="630"/>
        <s v="702"/>
        <s v="707"/>
        <s v="703"/>
        <s v="738"/>
        <s v="655"/>
        <s v="24"/>
        <s v="404"/>
        <s v="749"/>
        <s v="755"/>
        <s v="919"/>
        <s v="642"/>
        <s v="310"/>
        <s v="65"/>
        <s v="780"/>
        <s v="971"/>
        <s v="972"/>
        <s v="68"/>
        <s v="251"/>
        <s v="965"/>
        <s v="346"/>
        <s v="373"/>
        <s v="427"/>
        <s v="611"/>
        <s v="423"/>
        <s v="381"/>
        <s v="830"/>
        <s v="899"/>
        <s v="303"/>
        <s v="658"/>
        <s v="850"/>
        <s v="898"/>
        <s v="937"/>
        <s v="969"/>
        <s v="970"/>
        <s v="570"/>
        <s v="255"/>
        <s v="818"/>
        <s v="904"/>
        <s v="905"/>
        <s v="903"/>
        <s v="613"/>
        <s v="612"/>
        <s v="614"/>
        <s v="288"/>
        <s v="728"/>
        <s v="274"/>
        <s v="342"/>
        <s v="408"/>
        <s v="777"/>
        <s v="441"/>
        <s v="585"/>
        <s v="586"/>
        <s v="587"/>
        <s v="588"/>
        <s v="975"/>
        <s v="976"/>
        <s v="260"/>
        <s v="657"/>
        <s v="108"/>
        <s v="594"/>
        <s v="595"/>
        <s v="950"/>
        <s v="32"/>
        <s v="273"/>
        <s v="549"/>
        <s v="794"/>
        <s v="776"/>
        <s v="624"/>
        <s v="542"/>
        <s v="811"/>
        <s v="775"/>
        <s v="483"/>
        <s v="569"/>
        <s v="2"/>
        <s v="977"/>
        <s v="391"/>
        <s v="430"/>
        <s v="793"/>
        <s v="431"/>
        <s v="637"/>
        <s v="693"/>
        <s v="16"/>
        <s v="843"/>
        <s v="606"/>
        <s v="605"/>
        <s v="713"/>
        <s v="286"/>
        <s v="696"/>
        <s v="788"/>
        <s v="805"/>
        <s v="87"/>
        <s v="967"/>
        <s v="992"/>
        <s v="479"/>
        <s v="677"/>
        <s v="856"/>
        <s v="248"/>
        <s v="933"/>
        <s v="74"/>
        <s v="81"/>
        <s v="513"/>
        <s v="979"/>
        <s v="631"/>
        <s v="646"/>
        <s v="767"/>
        <s v="831"/>
        <s v="320"/>
        <s v="397"/>
        <s v="538"/>
        <s v="727"/>
        <s v="873"/>
        <s v="304"/>
        <s v="958"/>
        <s v="311"/>
        <s v="571"/>
        <s v="390"/>
        <s v="490"/>
        <s v="845"/>
        <s v="910"/>
        <s v="60"/>
        <s v="62"/>
        <s v="589"/>
        <s v="39"/>
        <s v="663"/>
        <s v="916"/>
        <s v="901"/>
        <s v="532"/>
        <s v="366"/>
        <s v="472"/>
        <s v="522"/>
        <s v="365"/>
        <s v="446"/>
        <s v="666"/>
        <s v="803"/>
        <s v="814"/>
        <s v="729"/>
        <s v="608"/>
        <s v="583"/>
        <s v="418"/>
        <s v="457"/>
        <s v="872"/>
        <s v="591"/>
        <s v="897"/>
        <s v="324"/>
        <s v="334"/>
        <s v="946"/>
        <s v="444"/>
        <s v="15"/>
        <s v="254"/>
        <s v="874"/>
        <s v="345"/>
        <s v="546"/>
        <s v="989"/>
        <s v="501"/>
        <s v="908"/>
        <s v="734"/>
        <s v="447"/>
        <s v="328"/>
        <s v="456"/>
        <s v="51"/>
        <s v="388"/>
        <s v="536"/>
        <s v="329"/>
        <s v="548"/>
        <s v="792"/>
        <s v="88"/>
        <s v="596"/>
        <s v="262"/>
        <s v="466"/>
        <s v="999"/>
        <s v="396"/>
        <s v="504"/>
        <s v="28"/>
        <s v="559"/>
        <s v="461"/>
        <s v="322"/>
        <s v="530"/>
        <s v="263"/>
        <s v="939"/>
        <s v="434"/>
        <s v="421"/>
        <s v="954"/>
        <s v="875"/>
        <s v="516"/>
        <s v="757"/>
        <s v="756"/>
        <s v="540"/>
        <s v="364"/>
        <s v="332"/>
        <s v="464"/>
        <s v="533"/>
        <s v="539"/>
        <s v="331"/>
        <s v="89"/>
        <s v="492"/>
        <s v="493"/>
        <s v="296"/>
        <s v="82"/>
        <s v="978"/>
        <s v="349"/>
        <s v="258"/>
        <s v="770"/>
        <s v="681"/>
        <s v="555"/>
        <s v="925"/>
        <s v="795"/>
        <s v="411"/>
        <s v="934"/>
        <s v="889"/>
        <s v="360"/>
        <s v="372"/>
        <s v="496"/>
        <s v="308"/>
        <s v="420"/>
        <s v="518"/>
        <s v="636"/>
        <s v="667"/>
        <s v="695"/>
        <s v="356"/>
        <s v="802"/>
        <s v="973"/>
        <s v="250"/>
        <s v="284"/>
        <s v="376"/>
        <s v="473"/>
        <s v="480"/>
        <s v="545"/>
        <s v="721"/>
        <s v="343"/>
        <s v="640"/>
        <s v="635"/>
        <s v="341"/>
        <s v="78"/>
        <s v="983"/>
        <s v="759"/>
        <s v="450"/>
        <s v="774"/>
        <s v="962"/>
        <s v="748"/>
        <s v="948"/>
        <s v="649"/>
        <s v="27"/>
        <s v="762"/>
        <s v="395"/>
        <s v="384"/>
        <s v="401"/>
        <s v="402"/>
        <s v="18"/>
        <s v="54"/>
        <s v="692"/>
        <s v="10"/>
        <s v="63"/>
        <s v="743"/>
        <s v="319"/>
        <s v="590"/>
        <s v="984"/>
        <s v="745"/>
        <s v="406"/>
        <s v="463"/>
        <s v="398"/>
        <s v="455"/>
        <s v="602"/>
        <s v="724"/>
        <s v="722"/>
        <s v="723"/>
        <s v="789"/>
        <s v="980"/>
        <s v="991"/>
        <s v="468"/>
        <s v="377"/>
        <s v="378"/>
        <s v="761"/>
        <s v="622"/>
        <s v="601"/>
        <s v="9"/>
        <s v="45"/>
        <s v="847"/>
        <s v="848"/>
        <s v="344"/>
        <s v="385"/>
        <s v="20"/>
        <s v="25"/>
        <s v="686"/>
        <s v="711"/>
        <s v="712"/>
        <s v="716"/>
        <s v="891"/>
        <s v="615"/>
        <s v="616"/>
        <s v="443"/>
        <s v="449"/>
        <s v="469"/>
        <s v="865"/>
        <s v="866"/>
        <s v="881"/>
        <s v="782"/>
        <s v="575"/>
        <s v="551"/>
        <s v="47"/>
        <s v="268"/>
        <s v="31"/>
        <s v="528"/>
        <s v="629"/>
        <s v="38"/>
        <s v="668"/>
        <s v="996"/>
        <s v="912"/>
        <s v="913"/>
        <s v="915"/>
        <s v="465"/>
        <s v="279"/>
        <s v="525"/>
        <s v="827"/>
        <s v="864"/>
        <s v="859"/>
        <s v="531"/>
        <s v="8"/>
        <s v="293"/>
        <s v="871"/>
        <s v="451"/>
        <s v="726"/>
        <s v="930"/>
        <s v="485"/>
        <s v="491"/>
        <s v="270"/>
        <s v="917"/>
        <s v="832"/>
        <s v="986"/>
        <s v="292"/>
        <s v="86"/>
        <s v="259"/>
        <s v="407"/>
        <s v="410"/>
        <s v="371"/>
        <s v="489"/>
        <s v="527"/>
        <s v="566"/>
        <s v="503"/>
        <s v="816"/>
        <s v="938"/>
        <s v="486"/>
        <s v="796"/>
        <s v="797"/>
        <s v="495"/>
        <s v="638"/>
        <s v="502"/>
        <s v="705"/>
        <s v="61"/>
        <s v="641"/>
        <s v="682"/>
        <s v="561"/>
        <s v="627"/>
        <s v="300"/>
        <s v="927"/>
        <s v="3"/>
        <s v="361"/>
        <s v="656"/>
        <s v="314"/>
        <s v="315"/>
        <s v="337"/>
        <s v="414"/>
        <s v="826"/>
        <s v="42"/>
        <s v="817"/>
        <s v="389"/>
        <s v="506"/>
        <s v="573"/>
        <s v="834"/>
        <s v="35"/>
        <s v="359"/>
        <s v="394"/>
        <s v="835"/>
        <s v="403"/>
        <s v="425"/>
        <s v="428"/>
        <s v="369"/>
        <s v="552"/>
        <s v="679"/>
        <s v="458"/>
        <s v="739"/>
        <s v="959"/>
        <s v="266"/>
        <s v="858"/>
        <s v="313"/>
        <s v="558"/>
        <s v="382"/>
        <s v="416"/>
        <s v="840"/>
        <s v="684"/>
        <s v="710"/>
        <s v="944"/>
        <s v="333"/>
        <s v="634"/>
        <s v="867"/>
        <s v="488"/>
        <s v="515"/>
        <s v="929"/>
        <s v="505"/>
        <s v="437"/>
        <s v="544"/>
        <s v="790"/>
        <s v="841"/>
        <s v="305"/>
        <s v="374"/>
        <s v="876"/>
        <s v="877"/>
        <s v="294"/>
        <s v="367"/>
        <s v="484"/>
        <s v="499"/>
        <s v="433"/>
        <s v="317"/>
        <s v="339"/>
        <s v="733"/>
        <s v="966"/>
        <s v="670"/>
        <s v="673"/>
        <s v="607"/>
        <s v="603"/>
        <s v="297"/>
        <s v="547"/>
        <s v="46"/>
        <s v="453"/>
        <s v="604"/>
        <s v="902"/>
        <s v="429"/>
        <s v="438"/>
        <s v="849"/>
        <s v="19"/>
        <s v="309"/>
        <s v="290"/>
        <s v="521"/>
        <s v="838"/>
        <s v="974"/>
        <s v="510"/>
        <s v="57"/>
        <s v="669"/>
        <s v="747"/>
        <s v="40"/>
        <s v="287"/>
        <s v="550"/>
        <s v="14"/>
        <s v="852"/>
        <s v="392"/>
        <s v="306"/>
        <s v="454"/>
        <s v="285"/>
        <s v="348"/>
        <s v="995"/>
        <s v="269"/>
        <s v="799"/>
        <s v="836"/>
        <s v="67"/>
        <s v="272"/>
        <s v="380"/>
        <s v="537"/>
        <s v="812"/>
        <s v="281"/>
        <s v="778"/>
        <s v="821"/>
        <s v="75"/>
        <s v="91"/>
        <s v="276"/>
        <s v="619"/>
        <s v="704"/>
        <s v="945"/>
        <s v="53"/>
        <s v="936"/>
        <s v="952"/>
        <s v="717"/>
        <s v="955"/>
        <s v="567"/>
        <s v="961"/>
        <s v="941"/>
        <s v="413"/>
        <s v="813"/>
        <s v="715"/>
        <s v="417"/>
        <s v="900"/>
        <s v="964"/>
        <s v="823"/>
        <s v="580"/>
        <s v="581"/>
        <s v="77"/>
        <s v="918"/>
        <s v="470"/>
        <s v="574"/>
        <s v="697"/>
        <s v="459"/>
        <s v="17"/>
        <s v="13"/>
        <s v="462"/>
        <s v="885"/>
        <s v="579"/>
        <s v="853"/>
        <s v="301"/>
        <s v="543"/>
        <s v="694"/>
        <s v="517"/>
        <s v="330"/>
        <s v="685"/>
        <s v="471"/>
        <s v="36"/>
        <s v="639"/>
        <s v="744"/>
        <s v="577"/>
        <s v="494"/>
        <s v="787"/>
        <s v="59"/>
        <s v="815"/>
        <s v="415"/>
        <s v="662"/>
      </sharedItems>
    </cacheField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 count="398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 count="239">
        <n v="17.5"/>
        <n v="27.7"/>
        <n v="33.299999999999997"/>
        <n v="25.4"/>
        <n v="25.9"/>
        <n v="22.6"/>
        <n v="33.799999999999997"/>
        <n v="25.2"/>
        <n v="25.8"/>
        <n v="32.9"/>
        <n v="20.9"/>
        <n v="21"/>
        <n v="28.1"/>
        <n v="19.399999999999999"/>
        <n v="27.3"/>
        <n v="20.7"/>
        <n v="21.1"/>
        <n v="28.5"/>
        <n v="16.899999999999999"/>
        <n v="29.8"/>
        <n v="30.5"/>
        <n v="36.4"/>
        <n v="29"/>
        <n v="19.2"/>
        <n v="23.9"/>
        <n v="23.6"/>
        <n v="27"/>
        <n v="20"/>
        <n v="43.3"/>
        <n v="30.6"/>
        <n v="21.9"/>
        <n v="31.5"/>
        <n v="18.7"/>
        <n v="31.6"/>
        <n v="23.1"/>
        <n v="43.4"/>
        <n v="43.9"/>
        <n v="17.899999999999999"/>
        <n v="16.5"/>
        <n v="29.1"/>
        <n v="29.3"/>
        <n v="31.1"/>
        <n v="24.2"/>
        <n v="33.5"/>
        <n v="32.6"/>
        <n v="28.4"/>
        <n v="26.7"/>
        <n v="22"/>
        <n v="43.2"/>
        <n v="28.8"/>
        <n v="18.2"/>
        <n v="26"/>
        <n v="20.6"/>
        <n v="15.3"/>
        <n v="30.8"/>
        <n v="28.9"/>
        <n v="31.8"/>
        <n v="40.5"/>
        <n v="24.5"/>
        <n v="21.8"/>
        <n v="21.6"/>
        <n v="17.2"/>
        <n v="23.8"/>
        <n v="35.299999999999997"/>
        <n v="33.9"/>
        <n v="15.5"/>
        <n v="20.3"/>
        <n v="22.1"/>
        <n v="42.5"/>
        <n v="20.2"/>
        <n v="23.5"/>
        <n v="27.8"/>
        <n v="18.899999999999999"/>
        <n v="26.3"/>
        <n v="27.6"/>
        <n v="35"/>
        <n v="23.4"/>
        <n v="32.799999999999997"/>
        <n v="30.2"/>
        <n v="26.6"/>
        <n v="20.399999999999999"/>
        <n v="36.1"/>
        <n v="35.799999999999997"/>
        <n v="29.4"/>
        <n v="26.8"/>
        <n v="26.4"/>
        <n v="25.1"/>
        <n v="23.7"/>
        <n v="25"/>
        <n v="22.5"/>
        <n v="33.700000000000003"/>
        <n v="30.9"/>
        <n v="29.2"/>
        <n v="28.6"/>
        <n v="27.9"/>
        <n v="25.7"/>
        <n v="28.7"/>
        <n v="32"/>
        <n v="27.1"/>
        <n v="22.2"/>
        <n v="14.5"/>
        <n v="25.6"/>
        <n v="33.200000000000003"/>
        <n v="20.5"/>
        <n v="16.2"/>
        <n v="18.5"/>
        <n v="14.9"/>
        <n v="26.5"/>
        <n v="25.5"/>
        <n v="19.600000000000001"/>
        <n v="23"/>
        <n v="28.2"/>
        <n v="24.4"/>
        <n v="32.1"/>
        <n v="34.799999999999997"/>
        <n v="30.3"/>
        <n v="33"/>
        <n v="26.9"/>
        <n v="18.399999999999999"/>
        <n v="17.3"/>
        <n v="33.6"/>
        <n v="19.8"/>
        <n v="24.9"/>
        <n v="29.5"/>
        <n v="22.9"/>
        <n v="28"/>
        <n v="36.200000000000003"/>
        <n v="42.7"/>
        <n v="29.9"/>
        <n v="14.8"/>
        <n v="24.6"/>
        <n v="31.2"/>
        <n v="42.4"/>
        <n v="17"/>
        <n v="20.8"/>
        <n v="21.2"/>
        <n v="19.100000000000001"/>
        <n v="19"/>
        <n v="22.7"/>
        <n v="36.299999999999997"/>
        <n v="23.2"/>
        <n v="17.8"/>
        <n v="17.7"/>
        <n v="25.3"/>
        <n v="19.3"/>
        <n v="22.8"/>
        <n v="19.899999999999999"/>
        <n v="24.3"/>
        <n v="32.5"/>
        <n v="39.9"/>
        <n v="30"/>
        <n v="27.4"/>
        <n v="28.3"/>
        <n v="24"/>
        <n v="21.7"/>
        <n v="32.299999999999997"/>
        <n v="19.5"/>
        <n v="27.2"/>
        <n v="31.9"/>
        <n v="18"/>
        <n v="35.4"/>
        <n v="22.3"/>
        <n v="26.2"/>
        <n v="43.1"/>
        <n v="42.1"/>
        <n v="38.700000000000003"/>
        <n v="43"/>
        <n v="33.4"/>
        <n v="20.100000000000001"/>
        <n v="29.6"/>
        <n v="18.600000000000001"/>
        <n v="16.8"/>
        <n v="17.600000000000001"/>
        <n v="22.4"/>
        <n v="34.1"/>
        <n v="16.100000000000001"/>
        <n v="31.4"/>
        <n v="34"/>
        <n v="19.7"/>
        <n v="24.7"/>
        <n v="36.799999999999997"/>
        <n v="32.4"/>
        <n v="31.3"/>
        <n v="17.100000000000001"/>
        <n v="32.700000000000003"/>
        <n v="36.5"/>
        <n v="41.7"/>
        <n v="18.3"/>
        <n v="16.600000000000001"/>
        <n v="14.7"/>
        <n v="42.8"/>
        <n v="40.4"/>
        <n v="24.1"/>
        <n v="35.200000000000003"/>
        <n v="30.1"/>
        <n v="26.1"/>
        <n v="27.5"/>
        <n v="16"/>
        <n v="29.7"/>
        <n v="34.299999999999997"/>
        <n v="36.6"/>
        <n v="37.299999999999997"/>
        <n v="14.1"/>
        <n v="34.700000000000003"/>
        <n v="35.5"/>
        <n v="23.3"/>
        <n v="30.7"/>
        <n v="34.9"/>
        <n v="31"/>
        <n v="31.7"/>
        <n v="35.9"/>
        <n v="15.4"/>
        <n v="21.4"/>
        <n v="13"/>
        <n v="34.200000000000003"/>
        <n v="18.8"/>
        <n v="30.4"/>
        <n v="39.4"/>
        <n v="24.8"/>
        <n v="21.3"/>
        <n v="16.3"/>
        <n v="42.3"/>
        <n v="15.6"/>
        <n v="34.4"/>
        <n v="35.700000000000003"/>
        <n v="21.5"/>
        <n v="15.9"/>
        <n v="33.1"/>
        <n v="42.9"/>
        <n v="32.200000000000003"/>
        <n v="40.299999999999997"/>
        <n v="40.200000000000003"/>
        <n v="36.700000000000003"/>
        <n v="45.2"/>
        <n v="36"/>
        <n v="37.9"/>
        <n v="37.799999999999997"/>
        <n v="17.399999999999999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x v="0"/>
    <x v="0"/>
    <s v="Ābele"/>
    <x v="0"/>
    <s v="Rīga"/>
    <s v="2:03:17"/>
    <x v="0"/>
  </r>
  <r>
    <x v="1"/>
    <x v="1"/>
    <s v="Ābelīte"/>
    <x v="1"/>
    <s v=""/>
    <s v="1:17:53"/>
    <x v="1"/>
  </r>
  <r>
    <x v="2"/>
    <x v="2"/>
    <s v="Ābelīts"/>
    <x v="2"/>
    <s v="VIC velokurjers"/>
    <s v="1:02:55"/>
    <x v="2"/>
  </r>
  <r>
    <x v="3"/>
    <x v="2"/>
    <s v="Ābelīts"/>
    <x v="3"/>
    <s v="V-sports"/>
    <s v="1:22:23"/>
    <x v="3"/>
  </r>
  <r>
    <x v="4"/>
    <x v="2"/>
    <s v="Ābeļkalns"/>
    <x v="4"/>
    <s v=""/>
    <s v="1:20:49"/>
    <x v="4"/>
  </r>
  <r>
    <x v="5"/>
    <x v="2"/>
    <s v="Ābiķis"/>
    <x v="5"/>
    <s v=""/>
    <s v="1:32:43"/>
    <x v="5"/>
  </r>
  <r>
    <x v="6"/>
    <x v="2"/>
    <s v="Abiņš"/>
    <x v="6"/>
    <s v="Krāsu nams"/>
    <s v="1:01:59"/>
    <x v="6"/>
  </r>
  <r>
    <x v="7"/>
    <x v="2"/>
    <s v="Āboliņš"/>
    <x v="7"/>
    <s v="Viesnīca Santa"/>
    <s v="1:15:42"/>
    <x v="1"/>
  </r>
  <r>
    <x v="8"/>
    <x v="2"/>
    <s v="Āboliņš"/>
    <x v="8"/>
    <s v=""/>
    <s v="1:23:20"/>
    <x v="7"/>
  </r>
  <r>
    <x v="9"/>
    <x v="1"/>
    <s v="Adijāns"/>
    <x v="9"/>
    <s v="Bosch"/>
    <s v="1:23:25"/>
    <x v="8"/>
  </r>
  <r>
    <x v="10"/>
    <x v="2"/>
    <s v="Agejevs"/>
    <x v="10"/>
    <s v="VIC velokurjers"/>
    <s v="1:03:42"/>
    <x v="9"/>
  </r>
  <r>
    <x v="11"/>
    <x v="2"/>
    <s v="Aizkalns"/>
    <x v="11"/>
    <s v=""/>
    <s v="1:40:14"/>
    <x v="10"/>
  </r>
  <r>
    <x v="11"/>
    <x v="3"/>
    <s v="Aizkalns"/>
    <x v="12"/>
    <s v="Jelgava"/>
    <s v="1:39:45"/>
    <x v="11"/>
  </r>
  <r>
    <x v="12"/>
    <x v="4"/>
    <s v="Aizkalns"/>
    <x v="13"/>
    <s v="Jelgava"/>
    <s v="1:16:46"/>
    <x v="12"/>
  </r>
  <r>
    <x v="13"/>
    <x v="5"/>
    <s v="Aizkalns"/>
    <x v="14"/>
    <s v="Jelgava"/>
    <s v="1:50:53"/>
    <x v="13"/>
  </r>
  <r>
    <x v="14"/>
    <x v="2"/>
    <s v="Aizups"/>
    <x v="15"/>
    <s v=""/>
    <s v="1:16:55"/>
    <x v="14"/>
  </r>
  <r>
    <x v="15"/>
    <x v="3"/>
    <s v="Akmentiņa"/>
    <x v="16"/>
    <s v="Valmieras kom.Grods"/>
    <s v="1:59:21"/>
    <x v="0"/>
  </r>
  <r>
    <x v="16"/>
    <x v="2"/>
    <s v="Āķis"/>
    <x v="17"/>
    <s v="Rīga"/>
    <s v="1:41:19"/>
    <x v="15"/>
  </r>
  <r>
    <x v="16"/>
    <x v="2"/>
    <s v="Āķis"/>
    <x v="18"/>
    <s v="Rīga"/>
    <s v="1:39:28"/>
    <x v="16"/>
  </r>
  <r>
    <x v="6"/>
    <x v="1"/>
    <s v="Āķis"/>
    <x v="2"/>
    <s v=""/>
    <s v="1:15:34"/>
    <x v="17"/>
  </r>
  <r>
    <x v="17"/>
    <x v="2"/>
    <s v="Albāts"/>
    <x v="19"/>
    <s v="Rīga"/>
    <s v="2:04:13"/>
    <x v="18"/>
  </r>
  <r>
    <x v="18"/>
    <x v="2"/>
    <s v="Albāts"/>
    <x v="20"/>
    <s v="Rīga"/>
    <s v="2:04:12"/>
    <x v="18"/>
  </r>
  <r>
    <x v="19"/>
    <x v="3"/>
    <s v="Alberte"/>
    <x v="21"/>
    <s v=""/>
    <s v="1:10:22"/>
    <x v="19"/>
  </r>
  <r>
    <x v="20"/>
    <x v="2"/>
    <s v="Alberts"/>
    <x v="22"/>
    <s v=""/>
    <s v="1:08:40"/>
    <x v="20"/>
  </r>
  <r>
    <x v="21"/>
    <x v="2"/>
    <s v="Aleksandrovs"/>
    <x v="10"/>
    <s v="Veloserviss"/>
    <s v="0:57:37"/>
    <x v="21"/>
  </r>
  <r>
    <x v="22"/>
    <x v="2"/>
    <s v="Aleksīns"/>
    <x v="23"/>
    <s v="Rīga"/>
    <s v="1:12:16"/>
    <x v="22"/>
  </r>
  <r>
    <x v="23"/>
    <x v="6"/>
    <s v="Aliks"/>
    <x v="6"/>
    <s v=""/>
    <s v="1:52:09"/>
    <x v="23"/>
  </r>
  <r>
    <x v="24"/>
    <x v="6"/>
    <s v="Alksnis"/>
    <x v="22"/>
    <s v=""/>
    <s v="1:30:07"/>
    <x v="24"/>
  </r>
  <r>
    <x v="25"/>
    <x v="2"/>
    <s v="Alsiņš"/>
    <x v="24"/>
    <s v=""/>
    <s v="1:28:52"/>
    <x v="25"/>
  </r>
  <r>
    <x v="26"/>
    <x v="2"/>
    <s v="Alsiņš"/>
    <x v="25"/>
    <s v=""/>
    <s v="1:17:36"/>
    <x v="26"/>
  </r>
  <r>
    <x v="18"/>
    <x v="2"/>
    <s v="Alviķis"/>
    <x v="26"/>
    <s v="Sigulda"/>
    <s v="1:44:53"/>
    <x v="27"/>
  </r>
  <r>
    <x v="27"/>
    <x v="7"/>
    <s v="Aļeksejevs"/>
    <x v="27"/>
    <s v=""/>
    <s v="1:38:56"/>
    <x v="28"/>
  </r>
  <r>
    <x v="28"/>
    <x v="5"/>
    <s v="Ambainis"/>
    <x v="28"/>
    <s v=""/>
    <s v="1:10:30"/>
    <x v="29"/>
  </r>
  <r>
    <x v="29"/>
    <x v="2"/>
    <s v="Ameters"/>
    <x v="29"/>
    <s v="Rīga"/>
    <s v="1:35:46"/>
    <x v="30"/>
  </r>
  <r>
    <x v="30"/>
    <x v="2"/>
    <s v="Anderdorfs"/>
    <x v="30"/>
    <s v="Ventspils"/>
    <s v="1:06:33"/>
    <x v="31"/>
  </r>
  <r>
    <x v="1"/>
    <x v="5"/>
    <s v="Andersons"/>
    <x v="31"/>
    <s v=""/>
    <s v="1:10:32"/>
    <x v="29"/>
  </r>
  <r>
    <x v="31"/>
    <x v="2"/>
    <s v="Andersons"/>
    <x v="32"/>
    <s v="Vello 31"/>
    <s v="1:51:44"/>
    <x v="32"/>
  </r>
  <r>
    <x v="32"/>
    <x v="2"/>
    <s v="Andrejevs"/>
    <x v="33"/>
    <s v="Valka"/>
    <s v="1:06:21"/>
    <x v="33"/>
  </r>
  <r>
    <x v="33"/>
    <x v="3"/>
    <s v="Andrijanova"/>
    <x v="34"/>
    <s v=""/>
    <s v="1:30:50"/>
    <x v="34"/>
  </r>
  <r>
    <x v="34"/>
    <x v="8"/>
    <s v="Andrijanovs"/>
    <x v="24"/>
    <s v="Marss"/>
    <s v="1:38:39"/>
    <x v="35"/>
  </r>
  <r>
    <x v="35"/>
    <x v="9"/>
    <s v="Ansons"/>
    <x v="35"/>
    <s v="Rietumu Banka"/>
    <s v="1:37:32"/>
    <x v="36"/>
  </r>
  <r>
    <x v="36"/>
    <x v="3"/>
    <s v="Anspoka"/>
    <x v="36"/>
    <s v="Sigulda"/>
    <s v="1:57:12"/>
    <x v="37"/>
  </r>
  <r>
    <x v="36"/>
    <x v="2"/>
    <s v="Anspoks"/>
    <x v="15"/>
    <s v="Sigulda"/>
    <s v="2:07:12"/>
    <x v="38"/>
  </r>
  <r>
    <x v="37"/>
    <x v="2"/>
    <s v="Antonovs"/>
    <x v="33"/>
    <s v="Veloserviss"/>
    <s v="1:12:03"/>
    <x v="39"/>
  </r>
  <r>
    <x v="38"/>
    <x v="1"/>
    <s v="Antropovs"/>
    <x v="37"/>
    <s v="Lateko"/>
    <s v="1:13:32"/>
    <x v="40"/>
  </r>
  <r>
    <x v="39"/>
    <x v="2"/>
    <s v="Apsītis"/>
    <x v="19"/>
    <s v="Komforts MTB"/>
    <s v="1:07:23"/>
    <x v="41"/>
  </r>
  <r>
    <x v="40"/>
    <x v="2"/>
    <s v="Apsītis"/>
    <x v="11"/>
    <s v="Komforts MTB RT"/>
    <s v="1:03:02"/>
    <x v="2"/>
  </r>
  <r>
    <x v="41"/>
    <x v="2"/>
    <s v="Apsītis"/>
    <x v="13"/>
    <s v="Komforts MTB RT"/>
    <s v="1:08:48"/>
    <x v="20"/>
  </r>
  <r>
    <x v="42"/>
    <x v="3"/>
    <s v="Aramina"/>
    <x v="38"/>
    <s v="Aramini"/>
    <s v="1:26:30"/>
    <x v="42"/>
  </r>
  <r>
    <x v="43"/>
    <x v="2"/>
    <s v="Aramins"/>
    <x v="39"/>
    <s v="Aramini"/>
    <s v="1:12:01"/>
    <x v="39"/>
  </r>
  <r>
    <x v="44"/>
    <x v="2"/>
    <s v="Aramins"/>
    <x v="40"/>
    <s v="Aramini"/>
    <s v="1:06:26"/>
    <x v="33"/>
  </r>
  <r>
    <x v="45"/>
    <x v="3"/>
    <s v="Arbidāne"/>
    <x v="41"/>
    <s v="Ondulat"/>
    <s v="1:32:52"/>
    <x v="5"/>
  </r>
  <r>
    <x v="46"/>
    <x v="2"/>
    <s v="Arbidāns"/>
    <x v="39"/>
    <s v=""/>
    <s v="1:02:35"/>
    <x v="43"/>
  </r>
  <r>
    <x v="23"/>
    <x v="4"/>
    <s v="Arsts"/>
    <x v="19"/>
    <s v=""/>
    <s v="1:06:04"/>
    <x v="44"/>
  </r>
  <r>
    <x v="47"/>
    <x v="2"/>
    <s v="Auriņš"/>
    <x v="19"/>
    <s v=""/>
    <s v="1:13:55"/>
    <x v="45"/>
  </r>
  <r>
    <x v="48"/>
    <x v="4"/>
    <s v="Ausmanis"/>
    <x v="5"/>
    <s v="Kuldīgas sporta sk."/>
    <s v="1:20:47"/>
    <x v="46"/>
  </r>
  <r>
    <x v="49"/>
    <x v="2"/>
    <s v="Avens"/>
    <x v="8"/>
    <s v="V-sports"/>
    <s v="1:35:04"/>
    <x v="47"/>
  </r>
  <r>
    <x v="50"/>
    <x v="9"/>
    <s v="Avens"/>
    <x v="24"/>
    <s v="V-sports"/>
    <s v="1:39:17"/>
    <x v="48"/>
  </r>
  <r>
    <x v="51"/>
    <x v="2"/>
    <s v="Avotiņš"/>
    <x v="42"/>
    <s v="Veloserviss"/>
    <s v="1:12:43"/>
    <x v="49"/>
  </r>
  <r>
    <x v="52"/>
    <x v="3"/>
    <s v="Baklanova"/>
    <x v="41"/>
    <s v="Karlos K"/>
    <s v="1:55:02"/>
    <x v="50"/>
  </r>
  <r>
    <x v="53"/>
    <x v="1"/>
    <s v="Baklāns"/>
    <x v="19"/>
    <s v=""/>
    <s v="1:22:46"/>
    <x v="51"/>
  </r>
  <r>
    <x v="54"/>
    <x v="3"/>
    <s v="Bāliņa"/>
    <x v="43"/>
    <s v=""/>
    <s v="1:41:28"/>
    <x v="52"/>
  </r>
  <r>
    <x v="55"/>
    <x v="3"/>
    <s v="Bāliņa"/>
    <x v="36"/>
    <s v=""/>
    <s v="2:16:38"/>
    <x v="53"/>
  </r>
  <r>
    <x v="56"/>
    <x v="2"/>
    <s v="Bāliņš"/>
    <x v="44"/>
    <s v=""/>
    <s v="1:08:08"/>
    <x v="54"/>
  </r>
  <r>
    <x v="36"/>
    <x v="2"/>
    <s v="Balodis"/>
    <x v="45"/>
    <s v="Tukums"/>
    <s v="1:12:34"/>
    <x v="55"/>
  </r>
  <r>
    <x v="57"/>
    <x v="1"/>
    <s v="Balodis"/>
    <x v="46"/>
    <s v="Fans Cube Team"/>
    <s v="1:07:49"/>
    <x v="56"/>
  </r>
  <r>
    <x v="58"/>
    <x v="9"/>
    <s v="Balodis"/>
    <x v="19"/>
    <s v="Rīga"/>
    <s v="1:45:47"/>
    <x v="57"/>
  </r>
  <r>
    <x v="59"/>
    <x v="1"/>
    <s v="Baltiņš"/>
    <x v="9"/>
    <s v=""/>
    <s v="1:27:56"/>
    <x v="58"/>
  </r>
  <r>
    <x v="13"/>
    <x v="1"/>
    <s v="Baltiņš"/>
    <x v="47"/>
    <s v="Jaunmārupe"/>
    <s v="1:38:57"/>
    <x v="59"/>
  </r>
  <r>
    <x v="60"/>
    <x v="2"/>
    <s v="Baltiņš"/>
    <x v="48"/>
    <s v="Cēsis"/>
    <s v="1:16:52"/>
    <x v="14"/>
  </r>
  <r>
    <x v="61"/>
    <x v="2"/>
    <s v="Baltiņš"/>
    <x v="49"/>
    <s v="Triāla klubs Karters"/>
    <s v="1:36:52"/>
    <x v="60"/>
  </r>
  <r>
    <x v="62"/>
    <x v="2"/>
    <s v="Bamers"/>
    <x v="19"/>
    <s v="Team Milo Latvia"/>
    <s v="2:01:30"/>
    <x v="61"/>
  </r>
  <r>
    <x v="63"/>
    <x v="2"/>
    <s v="Banders"/>
    <x v="50"/>
    <s v=""/>
    <s v="1:28:05"/>
    <x v="62"/>
  </r>
  <r>
    <x v="64"/>
    <x v="5"/>
    <s v="Baranovskis"/>
    <x v="51"/>
    <s v="Spectus-Smiltene"/>
    <s v="1:01:07"/>
    <x v="63"/>
  </r>
  <r>
    <x v="51"/>
    <x v="2"/>
    <s v="Bārenis"/>
    <x v="28"/>
    <s v="Rietumu Banka"/>
    <s v="1:01:55"/>
    <x v="64"/>
  </r>
  <r>
    <x v="28"/>
    <x v="1"/>
    <s v="Bāris"/>
    <x v="29"/>
    <s v=""/>
    <s v="2:19:11"/>
    <x v="65"/>
  </r>
  <r>
    <x v="65"/>
    <x v="2"/>
    <s v="Barkovskis"/>
    <x v="10"/>
    <s v="Rīga"/>
    <s v="1:43:23"/>
    <x v="66"/>
  </r>
  <r>
    <x v="66"/>
    <x v="2"/>
    <s v="Barons"/>
    <x v="52"/>
    <s v=""/>
    <s v="1:11:56"/>
    <x v="39"/>
  </r>
  <r>
    <x v="67"/>
    <x v="2"/>
    <s v="Bartavskis"/>
    <x v="53"/>
    <s v="Rīga"/>
    <s v="1:39:16"/>
    <x v="16"/>
  </r>
  <r>
    <x v="67"/>
    <x v="2"/>
    <s v="Bartusauskis"/>
    <x v="54"/>
    <s v="Rīga"/>
    <s v="1:35:00"/>
    <x v="67"/>
  </r>
  <r>
    <x v="68"/>
    <x v="10"/>
    <s v="Bartuševičs"/>
    <x v="55"/>
    <s v="Zumus"/>
    <s v="1:39:06"/>
    <x v="48"/>
  </r>
  <r>
    <x v="69"/>
    <x v="11"/>
    <s v="Bartuševičs"/>
    <x v="56"/>
    <s v="Zumus"/>
    <s v="1:40:51"/>
    <x v="68"/>
  </r>
  <r>
    <x v="70"/>
    <x v="1"/>
    <s v="Barzdevičs"/>
    <x v="28"/>
    <s v=""/>
    <s v="1:46:46"/>
    <x v="69"/>
  </r>
  <r>
    <x v="71"/>
    <x v="3"/>
    <s v="Batraga"/>
    <x v="57"/>
    <s v=""/>
    <s v="1:29:14"/>
    <x v="70"/>
  </r>
  <r>
    <x v="72"/>
    <x v="2"/>
    <s v="Batrags"/>
    <x v="52"/>
    <s v=""/>
    <s v="1:15:22"/>
    <x v="71"/>
  </r>
  <r>
    <x v="73"/>
    <x v="2"/>
    <s v="Baumanis"/>
    <x v="44"/>
    <s v="Ule"/>
    <s v="1:50:46"/>
    <x v="72"/>
  </r>
  <r>
    <x v="74"/>
    <x v="2"/>
    <s v="Baumanis"/>
    <x v="58"/>
    <s v="DTK"/>
    <s v="1:19:36"/>
    <x v="73"/>
  </r>
  <r>
    <x v="74"/>
    <x v="2"/>
    <s v="Baumanis"/>
    <x v="59"/>
    <s v="DTK"/>
    <s v="1:15:59"/>
    <x v="74"/>
  </r>
  <r>
    <x v="75"/>
    <x v="12"/>
    <s v="Baumanis"/>
    <x v="60"/>
    <s v="Latvello"/>
    <s v="1:40:53"/>
    <x v="68"/>
  </r>
  <r>
    <x v="74"/>
    <x v="2"/>
    <s v="Bazevičs"/>
    <x v="19"/>
    <s v="Gūtmanis"/>
    <s v="0:59:51"/>
    <x v="75"/>
  </r>
  <r>
    <x v="65"/>
    <x v="2"/>
    <s v="Bebrovskis"/>
    <x v="61"/>
    <s v="Rīga"/>
    <s v="1:29:22"/>
    <x v="76"/>
  </r>
  <r>
    <x v="57"/>
    <x v="13"/>
    <s v="Bēcis"/>
    <x v="29"/>
    <s v="Zumus"/>
    <s v="1:05:51"/>
    <x v="77"/>
  </r>
  <r>
    <x v="1"/>
    <x v="1"/>
    <s v="Beika"/>
    <x v="62"/>
    <s v=""/>
    <s v="1:11:23"/>
    <x v="78"/>
  </r>
  <r>
    <x v="76"/>
    <x v="4"/>
    <s v="Beitāns"/>
    <x v="63"/>
    <s v=""/>
    <s v="1:35:26"/>
    <x v="5"/>
  </r>
  <r>
    <x v="76"/>
    <x v="5"/>
    <s v="Beitāns"/>
    <x v="44"/>
    <s v=""/>
    <s v="1:21:04"/>
    <x v="79"/>
  </r>
  <r>
    <x v="77"/>
    <x v="10"/>
    <s v="Bekmanis"/>
    <x v="64"/>
    <s v="NN-Marss"/>
    <s v="1:37:33"/>
    <x v="36"/>
  </r>
  <r>
    <x v="5"/>
    <x v="2"/>
    <s v="Beķeris"/>
    <x v="6"/>
    <s v="Veloserviss"/>
    <s v="1:42:34"/>
    <x v="80"/>
  </r>
  <r>
    <x v="78"/>
    <x v="2"/>
    <s v="Beķeris"/>
    <x v="65"/>
    <s v="Veloserviss"/>
    <s v="1:42:33"/>
    <x v="80"/>
  </r>
  <r>
    <x v="23"/>
    <x v="1"/>
    <s v="Beķeris"/>
    <x v="66"/>
    <s v="Tridens"/>
    <s v="1:19:56"/>
    <x v="26"/>
  </r>
  <r>
    <x v="79"/>
    <x v="2"/>
    <s v="Beķeris"/>
    <x v="67"/>
    <s v="Veloserviss"/>
    <s v="1:42:33"/>
    <x v="80"/>
  </r>
  <r>
    <x v="80"/>
    <x v="2"/>
    <s v="Beķis"/>
    <x v="14"/>
    <s v="Glazūra AG"/>
    <s v="0:58:09"/>
    <x v="81"/>
  </r>
  <r>
    <x v="81"/>
    <x v="11"/>
    <s v="Belmanis"/>
    <x v="68"/>
    <s v="Ogre-Latvello"/>
    <s v="2:11:28"/>
    <x v="44"/>
  </r>
  <r>
    <x v="82"/>
    <x v="11"/>
    <s v="Belozerovs"/>
    <x v="69"/>
    <s v="Latvello"/>
    <s v="1:59:47"/>
    <x v="82"/>
  </r>
  <r>
    <x v="62"/>
    <x v="3"/>
    <s v="Bemere"/>
    <x v="70"/>
    <s v="Team Milo Latvia"/>
    <s v="2:01:32"/>
    <x v="61"/>
  </r>
  <r>
    <x v="36"/>
    <x v="2"/>
    <s v="Benefelds"/>
    <x v="40"/>
    <s v="Rīga"/>
    <s v="1:11:23"/>
    <x v="83"/>
  </r>
  <r>
    <x v="83"/>
    <x v="2"/>
    <s v="Benhens"/>
    <x v="39"/>
    <s v="Jūrmala"/>
    <s v="1:16:43"/>
    <x v="14"/>
  </r>
  <r>
    <x v="38"/>
    <x v="4"/>
    <s v="Benhens"/>
    <x v="71"/>
    <s v="Sigulda"/>
    <s v="1:13:32"/>
    <x v="40"/>
  </r>
  <r>
    <x v="84"/>
    <x v="3"/>
    <s v="Berga"/>
    <x v="72"/>
    <s v=""/>
    <s v="1:41:11"/>
    <x v="15"/>
  </r>
  <r>
    <x v="57"/>
    <x v="6"/>
    <s v="Bergmanis"/>
    <x v="23"/>
    <s v=""/>
    <s v="1:07:44"/>
    <x v="56"/>
  </r>
  <r>
    <x v="85"/>
    <x v="1"/>
    <s v="Bergmanis"/>
    <x v="73"/>
    <s v=""/>
    <s v="1:20:19"/>
    <x v="84"/>
  </r>
  <r>
    <x v="80"/>
    <x v="14"/>
    <s v="Bergs"/>
    <x v="6"/>
    <s v="Cēsis"/>
    <s v="1:21:47"/>
    <x v="85"/>
  </r>
  <r>
    <x v="86"/>
    <x v="2"/>
    <s v="Bergs"/>
    <x v="74"/>
    <s v="ZZK"/>
    <s v="1:23:36"/>
    <x v="86"/>
  </r>
  <r>
    <x v="87"/>
    <x v="2"/>
    <s v="Berhards"/>
    <x v="75"/>
    <s v="JAM"/>
    <s v="1:28:31"/>
    <x v="87"/>
  </r>
  <r>
    <x v="88"/>
    <x v="1"/>
    <s v="Berjoza"/>
    <x v="76"/>
    <s v="Velobode"/>
    <s v="1:15:46"/>
    <x v="17"/>
  </r>
  <r>
    <x v="0"/>
    <x v="1"/>
    <s v="Berkmanis"/>
    <x v="60"/>
    <s v="Cēsis"/>
    <s v="1:26:12"/>
    <x v="88"/>
  </r>
  <r>
    <x v="89"/>
    <x v="3"/>
    <s v="Berķe"/>
    <x v="77"/>
    <s v="Rīga"/>
    <s v="1:33:17"/>
    <x v="89"/>
  </r>
  <r>
    <x v="90"/>
    <x v="4"/>
    <s v="Berķis"/>
    <x v="3"/>
    <s v="Zumus"/>
    <s v="1:03:59"/>
    <x v="90"/>
  </r>
  <r>
    <x v="91"/>
    <x v="5"/>
    <s v="Berķis"/>
    <x v="15"/>
    <s v="Madona"/>
    <s v="1:09:46"/>
    <x v="91"/>
  </r>
  <r>
    <x v="92"/>
    <x v="5"/>
    <s v="Berķis"/>
    <x v="29"/>
    <s v="Zumus"/>
    <s v="1:13:46"/>
    <x v="92"/>
  </r>
  <r>
    <x v="93"/>
    <x v="1"/>
    <s v="Berķis"/>
    <x v="78"/>
    <s v="Ķegums"/>
    <s v="1:18:59"/>
    <x v="14"/>
  </r>
  <r>
    <x v="94"/>
    <x v="4"/>
    <s v="Berķis"/>
    <x v="23"/>
    <s v="Zumus"/>
    <s v="1:15:25"/>
    <x v="93"/>
  </r>
  <r>
    <x v="95"/>
    <x v="3"/>
    <s v="Bernāne"/>
    <x v="79"/>
    <s v="Priekuļi"/>
    <s v="1:15:11"/>
    <x v="94"/>
  </r>
  <r>
    <x v="96"/>
    <x v="3"/>
    <s v="Bernāne"/>
    <x v="80"/>
    <s v="Priekuļi"/>
    <s v="1:21:35"/>
    <x v="95"/>
  </r>
  <r>
    <x v="65"/>
    <x v="2"/>
    <s v="Bernāns"/>
    <x v="52"/>
    <s v="Rīga"/>
    <s v="1:12:56"/>
    <x v="96"/>
  </r>
  <r>
    <x v="97"/>
    <x v="15"/>
    <s v="Bernāns"/>
    <x v="81"/>
    <s v="Priekuļi"/>
    <s v="1:07:21"/>
    <x v="97"/>
  </r>
  <r>
    <x v="98"/>
    <x v="2"/>
    <s v="Bernāns"/>
    <x v="82"/>
    <s v="Priekuļis"/>
    <s v="1:14:29"/>
    <x v="12"/>
  </r>
  <r>
    <x v="99"/>
    <x v="2"/>
    <s v="Berners"/>
    <x v="83"/>
    <s v="OK Prizma"/>
    <s v="1:17:26"/>
    <x v="98"/>
  </r>
  <r>
    <x v="100"/>
    <x v="3"/>
    <s v="Bernharde"/>
    <x v="84"/>
    <s v="Sigulda"/>
    <s v="1:35:52"/>
    <x v="30"/>
  </r>
  <r>
    <x v="100"/>
    <x v="2"/>
    <s v="Bernhards"/>
    <x v="15"/>
    <s v="Sigulda"/>
    <s v="1:35:52"/>
    <x v="30"/>
  </r>
  <r>
    <x v="101"/>
    <x v="8"/>
    <s v="Bērsons"/>
    <x v="9"/>
    <s v="Marss"/>
    <s v="1:38:51"/>
    <x v="28"/>
  </r>
  <r>
    <x v="102"/>
    <x v="3"/>
    <s v="Bērziņa"/>
    <x v="85"/>
    <s v="Sigulda"/>
    <s v="1:29:26"/>
    <x v="76"/>
  </r>
  <r>
    <x v="103"/>
    <x v="3"/>
    <s v="Bērziņa"/>
    <x v="86"/>
    <s v=""/>
    <s v="1:34:24"/>
    <x v="99"/>
  </r>
  <r>
    <x v="104"/>
    <x v="3"/>
    <s v="Bērziņa"/>
    <x v="87"/>
    <s v="Veloserviss"/>
    <s v="2:24:09"/>
    <x v="100"/>
  </r>
  <r>
    <x v="100"/>
    <x v="2"/>
    <s v="Bērziņš"/>
    <x v="88"/>
    <s v="Scantest"/>
    <s v="1:21:56"/>
    <x v="101"/>
  </r>
  <r>
    <x v="105"/>
    <x v="1"/>
    <s v="Bērziņš"/>
    <x v="89"/>
    <s v="Rīga"/>
    <s v="1:26:17"/>
    <x v="88"/>
  </r>
  <r>
    <x v="106"/>
    <x v="1"/>
    <s v="Bērziņš"/>
    <x v="19"/>
    <s v=""/>
    <s v="1:15:41"/>
    <x v="17"/>
  </r>
  <r>
    <x v="107"/>
    <x v="2"/>
    <s v="Bērziņš"/>
    <x v="90"/>
    <s v="Rīga"/>
    <s v="1:03:12"/>
    <x v="102"/>
  </r>
  <r>
    <x v="108"/>
    <x v="2"/>
    <s v="Bērziņš"/>
    <x v="23"/>
    <s v=""/>
    <s v="1:23:15"/>
    <x v="7"/>
  </r>
  <r>
    <x v="109"/>
    <x v="2"/>
    <s v="Bērziņš"/>
    <x v="40"/>
    <s v="Auteko"/>
    <s v="1:27:59"/>
    <x v="62"/>
  </r>
  <r>
    <x v="110"/>
    <x v="2"/>
    <s v="Bērziņš"/>
    <x v="6"/>
    <s v="Hansabanka"/>
    <s v="1:42:21"/>
    <x v="103"/>
  </r>
  <r>
    <x v="111"/>
    <x v="2"/>
    <s v="Bērziņš"/>
    <x v="78"/>
    <s v="&quot;Projekts Pēdas&quot;"/>
    <s v="2:09:27"/>
    <x v="104"/>
  </r>
  <r>
    <x v="112"/>
    <x v="2"/>
    <s v="Bērziņš"/>
    <x v="42"/>
    <s v="&quot;Projekts Pēdas&quot;"/>
    <s v="1:13:04"/>
    <x v="96"/>
  </r>
  <r>
    <x v="113"/>
    <x v="2"/>
    <s v="Bērziņš"/>
    <x v="91"/>
    <s v="Veloserviss"/>
    <s v="2:24:10"/>
    <x v="100"/>
  </r>
  <r>
    <x v="114"/>
    <x v="2"/>
    <s v="Bērziņš"/>
    <x v="19"/>
    <s v="Veloserviss"/>
    <s v="2:07:15"/>
    <x v="38"/>
  </r>
  <r>
    <x v="115"/>
    <x v="2"/>
    <s v="Bērziņš"/>
    <x v="19"/>
    <s v="Hansabanka"/>
    <s v="1:18:24"/>
    <x v="46"/>
  </r>
  <r>
    <x v="116"/>
    <x v="2"/>
    <s v="Bērziņš"/>
    <x v="92"/>
    <s v=""/>
    <s v="1:19:39"/>
    <x v="73"/>
  </r>
  <r>
    <x v="117"/>
    <x v="13"/>
    <s v="Bethens"/>
    <x v="93"/>
    <s v="Spars"/>
    <s v="1:56:20"/>
    <x v="105"/>
  </r>
  <r>
    <x v="118"/>
    <x v="16"/>
    <s v="Bidiņa"/>
    <x v="94"/>
    <s v=""/>
    <s v="2:07:33"/>
    <x v="18"/>
  </r>
  <r>
    <x v="119"/>
    <x v="16"/>
    <s v="Bidiņa"/>
    <x v="95"/>
    <s v=""/>
    <s v="2:24:41"/>
    <x v="106"/>
  </r>
  <r>
    <x v="48"/>
    <x v="5"/>
    <s v="Bidiņš"/>
    <x v="39"/>
    <s v=""/>
    <s v="1:21:14"/>
    <x v="107"/>
  </r>
  <r>
    <x v="120"/>
    <x v="1"/>
    <s v="Bīlāns"/>
    <x v="44"/>
    <s v="Sigulda"/>
    <s v="1:19:00"/>
    <x v="14"/>
  </r>
  <r>
    <x v="38"/>
    <x v="1"/>
    <s v="Bilzēns"/>
    <x v="55"/>
    <s v="Rīga"/>
    <s v="1:24:25"/>
    <x v="108"/>
  </r>
  <r>
    <x v="38"/>
    <x v="6"/>
    <s v="Bilzēns"/>
    <x v="96"/>
    <s v="Rīga"/>
    <s v="1:49:45"/>
    <x v="109"/>
  </r>
  <r>
    <x v="121"/>
    <x v="2"/>
    <s v="Biraus"/>
    <x v="97"/>
    <s v=""/>
    <s v="1:31:01"/>
    <x v="110"/>
  </r>
  <r>
    <x v="122"/>
    <x v="2"/>
    <s v="Birkants"/>
    <x v="23"/>
    <s v=""/>
    <s v="1:21:38"/>
    <x v="95"/>
  </r>
  <r>
    <x v="123"/>
    <x v="2"/>
    <s v="Birkants"/>
    <x v="66"/>
    <s v=""/>
    <s v="1:14:19"/>
    <x v="111"/>
  </r>
  <r>
    <x v="22"/>
    <x v="3"/>
    <s v="Birkentāla"/>
    <x v="98"/>
    <s v="Raimaks"/>
    <s v="1:02:55"/>
    <x v="2"/>
  </r>
  <r>
    <x v="22"/>
    <x v="2"/>
    <s v="Birkentāls"/>
    <x v="99"/>
    <s v="Raimaks"/>
    <s v="1:03:12"/>
    <x v="102"/>
  </r>
  <r>
    <x v="124"/>
    <x v="2"/>
    <s v="Birks"/>
    <x v="88"/>
    <s v=""/>
    <s v="1:16:49"/>
    <x v="14"/>
  </r>
  <r>
    <x v="125"/>
    <x v="3"/>
    <s v="Birža"/>
    <x v="100"/>
    <s v="&quot;Projekts Pēdas&quot;"/>
    <s v="1:36:09"/>
    <x v="59"/>
  </r>
  <r>
    <x v="126"/>
    <x v="2"/>
    <s v="Bisenieks"/>
    <x v="6"/>
    <s v=""/>
    <s v="1:29:08"/>
    <x v="70"/>
  </r>
  <r>
    <x v="127"/>
    <x v="2"/>
    <s v="Bitītis"/>
    <x v="49"/>
    <s v="Krimuldas vsk."/>
    <s v="1:08:27"/>
    <x v="29"/>
  </r>
  <r>
    <x v="128"/>
    <x v="2"/>
    <s v="Bitītis"/>
    <x v="74"/>
    <s v="Krimuldas vsk."/>
    <s v="1:25:49"/>
    <x v="112"/>
  </r>
  <r>
    <x v="129"/>
    <x v="2"/>
    <s v="Bitītis"/>
    <x v="28"/>
    <s v="&quot;Projekts Pēdas&quot;"/>
    <s v="1:21:48"/>
    <x v="101"/>
  </r>
  <r>
    <x v="105"/>
    <x v="2"/>
    <s v="Bjalkoskis"/>
    <x v="15"/>
    <s v="Salaspils Zīriņi"/>
    <s v="1:05:22"/>
    <x v="113"/>
  </r>
  <r>
    <x v="130"/>
    <x v="3"/>
    <s v="Blūma"/>
    <x v="101"/>
    <s v="Velo-30"/>
    <s v="1:23:19"/>
    <x v="7"/>
  </r>
  <r>
    <x v="131"/>
    <x v="5"/>
    <s v="Blumbergs"/>
    <x v="102"/>
    <s v="Concorde"/>
    <s v="1:22:05"/>
    <x v="73"/>
  </r>
  <r>
    <x v="132"/>
    <x v="1"/>
    <s v="Blūms"/>
    <x v="96"/>
    <s v=""/>
    <s v="1:24:29"/>
    <x v="108"/>
  </r>
  <r>
    <x v="133"/>
    <x v="2"/>
    <s v="Blūms"/>
    <x v="5"/>
    <s v="&quot;Projekts Pēdas&quot;"/>
    <s v="1:25:47"/>
    <x v="112"/>
  </r>
  <r>
    <x v="134"/>
    <x v="2"/>
    <s v="Bļinovs"/>
    <x v="103"/>
    <s v="Zumus sport"/>
    <s v="1:00:15"/>
    <x v="114"/>
  </r>
  <r>
    <x v="135"/>
    <x v="10"/>
    <s v="Bļodnieks"/>
    <x v="74"/>
    <s v=""/>
    <s v="1:39:06"/>
    <x v="48"/>
  </r>
  <r>
    <x v="97"/>
    <x v="5"/>
    <s v="Bļusis"/>
    <x v="88"/>
    <s v="Tukums"/>
    <s v="1:11:14"/>
    <x v="115"/>
  </r>
  <r>
    <x v="136"/>
    <x v="5"/>
    <s v="Bļusis"/>
    <x v="25"/>
    <s v="Tukums"/>
    <s v="1:05:44"/>
    <x v="77"/>
  </r>
  <r>
    <x v="137"/>
    <x v="2"/>
    <s v="Bodnieks"/>
    <x v="104"/>
    <s v=""/>
    <s v="1:16:49"/>
    <x v="14"/>
  </r>
  <r>
    <x v="138"/>
    <x v="3"/>
    <s v="Boganova"/>
    <x v="16"/>
    <s v=""/>
    <s v="1:44:30"/>
    <x v="27"/>
  </r>
  <r>
    <x v="97"/>
    <x v="2"/>
    <s v="Bogdanovičs"/>
    <x v="22"/>
    <s v="Tandēms/Dobele"/>
    <s v="1:19:38"/>
    <x v="73"/>
  </r>
  <r>
    <x v="131"/>
    <x v="5"/>
    <s v="Bogdanovs"/>
    <x v="88"/>
    <s v="Cēsis 800 - Cēsu alus"/>
    <s v="1:05:24"/>
    <x v="116"/>
  </r>
  <r>
    <x v="139"/>
    <x v="5"/>
    <s v="Boldāns"/>
    <x v="5"/>
    <s v="JV 11"/>
    <s v="1:15:59"/>
    <x v="45"/>
  </r>
  <r>
    <x v="140"/>
    <x v="1"/>
    <s v="Bomiks"/>
    <x v="9"/>
    <s v=""/>
    <s v="1:20:12"/>
    <x v="117"/>
  </r>
  <r>
    <x v="9"/>
    <x v="1"/>
    <s v="Bondars"/>
    <x v="61"/>
    <s v="Grifs AG"/>
    <s v="1:23:02"/>
    <x v="51"/>
  </r>
  <r>
    <x v="92"/>
    <x v="1"/>
    <s v="Borisovs"/>
    <x v="54"/>
    <s v=""/>
    <s v="1:37:16"/>
    <x v="99"/>
  </r>
  <r>
    <x v="141"/>
    <x v="5"/>
    <s v="Borisovs"/>
    <x v="105"/>
    <s v=""/>
    <s v="1:17:20"/>
    <x v="94"/>
  </r>
  <r>
    <x v="142"/>
    <x v="3"/>
    <s v="Boša"/>
    <x v="106"/>
    <s v=""/>
    <s v="1:53:58"/>
    <x v="118"/>
  </r>
  <r>
    <x v="143"/>
    <x v="2"/>
    <s v="Bošs"/>
    <x v="39"/>
    <s v=""/>
    <s v="1:12:50"/>
    <x v="49"/>
  </r>
  <r>
    <x v="144"/>
    <x v="2"/>
    <s v="Bošs"/>
    <x v="78"/>
    <s v=""/>
    <s v="1:21:47"/>
    <x v="101"/>
  </r>
  <r>
    <x v="5"/>
    <x v="2"/>
    <s v="Bowen"/>
    <x v="107"/>
    <s v="Rietumu Banka"/>
    <s v="1:06:16"/>
    <x v="33"/>
  </r>
  <r>
    <x v="145"/>
    <x v="2"/>
    <s v="Brālis"/>
    <x v="51"/>
    <s v=""/>
    <s v="2:01:02"/>
    <x v="119"/>
  </r>
  <r>
    <x v="146"/>
    <x v="2"/>
    <s v="Branmbergs"/>
    <x v="108"/>
    <s v="Rīga"/>
    <s v="1:17:49"/>
    <x v="117"/>
  </r>
  <r>
    <x v="147"/>
    <x v="3"/>
    <s v="Brence"/>
    <x v="109"/>
    <s v=""/>
    <s v="1:02:24"/>
    <x v="120"/>
  </r>
  <r>
    <x v="132"/>
    <x v="5"/>
    <s v="Bricis"/>
    <x v="110"/>
    <s v=""/>
    <s v="1:21:24"/>
    <x v="107"/>
  </r>
  <r>
    <x v="38"/>
    <x v="0"/>
    <s v="Briede"/>
    <x v="16"/>
    <s v="Sigulda"/>
    <s v="1:48:42"/>
    <x v="121"/>
  </r>
  <r>
    <x v="148"/>
    <x v="2"/>
    <s v="Briedis"/>
    <x v="78"/>
    <s v="Veloserviss"/>
    <s v="1:20:34"/>
    <x v="51"/>
  </r>
  <r>
    <x v="149"/>
    <x v="2"/>
    <s v="Briedis"/>
    <x v="22"/>
    <s v="Veloserviss"/>
    <s v="1:24:08"/>
    <x v="122"/>
  </r>
  <r>
    <x v="150"/>
    <x v="2"/>
    <s v="Briedīts"/>
    <x v="52"/>
    <s v=""/>
    <s v="1:11:04"/>
    <x v="123"/>
  </r>
  <r>
    <x v="151"/>
    <x v="3"/>
    <s v="Broka"/>
    <x v="111"/>
    <s v="Cēsis"/>
    <s v="1:31:27"/>
    <x v="124"/>
  </r>
  <r>
    <x v="152"/>
    <x v="2"/>
    <s v="Broks"/>
    <x v="22"/>
    <s v="Ceļu Projekts"/>
    <s v="1:34:11"/>
    <x v="99"/>
  </r>
  <r>
    <x v="153"/>
    <x v="2"/>
    <s v="Broks"/>
    <x v="88"/>
    <s v="Cēsis"/>
    <s v="1:33:04"/>
    <x v="89"/>
  </r>
  <r>
    <x v="154"/>
    <x v="3"/>
    <s v="Brūvele"/>
    <x v="112"/>
    <s v=""/>
    <s v="1:48:52"/>
    <x v="23"/>
  </r>
  <r>
    <x v="155"/>
    <x v="2"/>
    <s v="Brūvelis"/>
    <x v="51"/>
    <s v=""/>
    <s v="1:35:10"/>
    <x v="47"/>
  </r>
  <r>
    <x v="156"/>
    <x v="2"/>
    <s v="Bružis"/>
    <x v="1"/>
    <s v="Veloserviss"/>
    <s v="1:08:33"/>
    <x v="29"/>
  </r>
  <r>
    <x v="105"/>
    <x v="1"/>
    <s v="Builis"/>
    <x v="113"/>
    <s v="Kodak"/>
    <s v="1:16:29"/>
    <x v="111"/>
  </r>
  <r>
    <x v="157"/>
    <x v="2"/>
    <s v="Buivids"/>
    <x v="114"/>
    <s v="Siguldas ģimn."/>
    <s v="1:11:12"/>
    <x v="83"/>
  </r>
  <r>
    <x v="24"/>
    <x v="14"/>
    <s v="Bukavs"/>
    <x v="115"/>
    <s v=""/>
    <s v="1:30:13"/>
    <x v="24"/>
  </r>
  <r>
    <x v="158"/>
    <x v="1"/>
    <s v="Bukins"/>
    <x v="19"/>
    <s v="LKSB"/>
    <s v="1:16:53"/>
    <x v="125"/>
  </r>
  <r>
    <x v="159"/>
    <x v="1"/>
    <s v="Bukovskis"/>
    <x v="67"/>
    <s v=""/>
    <s v="1:13:35"/>
    <x v="40"/>
  </r>
  <r>
    <x v="67"/>
    <x v="2"/>
    <s v="Buks"/>
    <x v="116"/>
    <s v="Kadaga"/>
    <s v="1:28:49"/>
    <x v="25"/>
  </r>
  <r>
    <x v="160"/>
    <x v="2"/>
    <s v="Buķis"/>
    <x v="97"/>
    <s v="&quot;Projekts Pēdas&quot;"/>
    <s v="1:25:40"/>
    <x v="58"/>
  </r>
  <r>
    <x v="161"/>
    <x v="2"/>
    <s v="Buliga"/>
    <x v="55"/>
    <s v="Marss"/>
    <s v="0:57:54"/>
    <x v="126"/>
  </r>
  <r>
    <x v="162"/>
    <x v="12"/>
    <s v="Bumbulis"/>
    <x v="88"/>
    <s v="Grobiņa"/>
    <s v="1:40:26"/>
    <x v="127"/>
  </r>
  <r>
    <x v="163"/>
    <x v="2"/>
    <s v="Bumbulis"/>
    <x v="78"/>
    <s v="Grobiņa"/>
    <s v="1:19:32"/>
    <x v="85"/>
  </r>
  <r>
    <x v="51"/>
    <x v="3"/>
    <s v="Bundze"/>
    <x v="117"/>
    <s v="Rīga"/>
    <s v="1:15:39"/>
    <x v="1"/>
  </r>
  <r>
    <x v="164"/>
    <x v="1"/>
    <s v="Bundzenieks"/>
    <x v="65"/>
    <s v="Grifs AG"/>
    <s v="1:12:01"/>
    <x v="128"/>
  </r>
  <r>
    <x v="165"/>
    <x v="3"/>
    <s v="Bunga Loce"/>
    <x v="118"/>
    <s v="Karlos K"/>
    <s v="2:21:38"/>
    <x v="129"/>
  </r>
  <r>
    <x v="166"/>
    <x v="17"/>
    <s v="Bungše"/>
    <x v="119"/>
    <s v="Hansabanka"/>
    <s v="2:53:57"/>
    <x v="130"/>
  </r>
  <r>
    <x v="167"/>
    <x v="2"/>
    <s v="Būris"/>
    <x v="88"/>
    <s v="&quot;Projekts Pēdas&quot;"/>
    <s v="1:07:17"/>
    <x v="131"/>
  </r>
  <r>
    <x v="168"/>
    <x v="18"/>
    <s v="Burka       "/>
    <x v="120"/>
    <s v="Talsi"/>
    <s v="1:40:58"/>
    <x v="132"/>
  </r>
  <r>
    <x v="169"/>
    <x v="2"/>
    <s v="Burkevičs"/>
    <x v="110"/>
    <s v="ZZK"/>
    <s v="1:47:48"/>
    <x v="13"/>
  </r>
  <r>
    <x v="141"/>
    <x v="4"/>
    <s v="Butauts"/>
    <x v="121"/>
    <s v="Dunalka"/>
    <s v="1:09:59"/>
    <x v="54"/>
  </r>
  <r>
    <x v="170"/>
    <x v="13"/>
    <s v="Caune"/>
    <x v="7"/>
    <s v="Salaspils Zīriņi"/>
    <s v="1:25:00"/>
    <x v="3"/>
  </r>
  <r>
    <x v="170"/>
    <x v="14"/>
    <s v="Caune"/>
    <x v="122"/>
    <s v="Salaspils Zīriņi"/>
    <s v="1:17:51"/>
    <x v="1"/>
  </r>
  <r>
    <x v="171"/>
    <x v="3"/>
    <s v="Caune"/>
    <x v="123"/>
    <s v="Salaspils Zīriņi"/>
    <s v="1:36:47"/>
    <x v="60"/>
  </r>
  <r>
    <x v="51"/>
    <x v="3"/>
    <s v="Caune-Morzik"/>
    <x v="124"/>
    <s v="Salaspils Zīriņi"/>
    <s v="1:36:15"/>
    <x v="59"/>
  </r>
  <r>
    <x v="172"/>
    <x v="1"/>
    <s v="Celms"/>
    <x v="78"/>
    <s v="Rietumu Banka"/>
    <s v="0:59:36"/>
    <x v="126"/>
  </r>
  <r>
    <x v="158"/>
    <x v="14"/>
    <s v="Celms"/>
    <x v="78"/>
    <s v="Zumus"/>
    <s v="1:19:31"/>
    <x v="98"/>
  </r>
  <r>
    <x v="173"/>
    <x v="0"/>
    <s v="Ceplīte"/>
    <x v="125"/>
    <s v=""/>
    <s v="2:06:41"/>
    <x v="133"/>
  </r>
  <r>
    <x v="174"/>
    <x v="2"/>
    <s v="Cepurītis"/>
    <x v="126"/>
    <s v=""/>
    <s v="1:27:44"/>
    <x v="24"/>
  </r>
  <r>
    <x v="175"/>
    <x v="3"/>
    <s v="Cera"/>
    <x v="127"/>
    <s v=""/>
    <s v="1:40:30"/>
    <x v="134"/>
  </r>
  <r>
    <x v="176"/>
    <x v="3"/>
    <s v="Cera"/>
    <x v="109"/>
    <s v=""/>
    <s v="1:38:40"/>
    <x v="135"/>
  </r>
  <r>
    <x v="177"/>
    <x v="3"/>
    <s v="Cera"/>
    <x v="111"/>
    <s v="Ceru ģim."/>
    <s v="1:50:59"/>
    <x v="72"/>
  </r>
  <r>
    <x v="178"/>
    <x v="3"/>
    <s v="Cera"/>
    <x v="36"/>
    <s v="Ceru ģim."/>
    <s v="1:49:55"/>
    <x v="136"/>
  </r>
  <r>
    <x v="175"/>
    <x v="2"/>
    <s v="Cers"/>
    <x v="74"/>
    <s v=""/>
    <s v="1:50:08"/>
    <x v="137"/>
  </r>
  <r>
    <x v="175"/>
    <x v="2"/>
    <s v="Cers"/>
    <x v="19"/>
    <s v=""/>
    <s v="1:40:30"/>
    <x v="134"/>
  </r>
  <r>
    <x v="175"/>
    <x v="2"/>
    <s v="Cers"/>
    <x v="128"/>
    <s v=""/>
    <s v="1:38:45"/>
    <x v="135"/>
  </r>
  <r>
    <x v="176"/>
    <x v="2"/>
    <s v="Cers"/>
    <x v="9"/>
    <s v=""/>
    <s v="1:32:10"/>
    <x v="138"/>
  </r>
  <r>
    <x v="85"/>
    <x v="1"/>
    <s v="Cers"/>
    <x v="9"/>
    <s v=""/>
    <s v="1:19:07"/>
    <x v="14"/>
  </r>
  <r>
    <x v="179"/>
    <x v="2"/>
    <s v="Cers"/>
    <x v="28"/>
    <s v="Ceru ģim."/>
    <s v="1:50:04"/>
    <x v="137"/>
  </r>
  <r>
    <x v="74"/>
    <x v="2"/>
    <s v="Ciaguns"/>
    <x v="129"/>
    <s v="Jotul"/>
    <s v="0:57:42"/>
    <x v="139"/>
  </r>
  <r>
    <x v="180"/>
    <x v="2"/>
    <s v="Cikmačs"/>
    <x v="44"/>
    <s v="Hansabanka"/>
    <s v="1:30:15"/>
    <x v="140"/>
  </r>
  <r>
    <x v="0"/>
    <x v="13"/>
    <s v="Cimdiņš"/>
    <x v="130"/>
    <s v="Rīga"/>
    <s v="2:01:04"/>
    <x v="141"/>
  </r>
  <r>
    <x v="0"/>
    <x v="5"/>
    <s v="Cimdiņš"/>
    <x v="90"/>
    <s v="Rīga"/>
    <s v="2:01:22"/>
    <x v="142"/>
  </r>
  <r>
    <x v="64"/>
    <x v="15"/>
    <s v="Cimermanis"/>
    <x v="114"/>
    <s v="ZZK"/>
    <s v="1:03:45"/>
    <x v="6"/>
  </r>
  <r>
    <x v="181"/>
    <x v="2"/>
    <s v="Cīmurs"/>
    <x v="19"/>
    <s v=""/>
    <s v="1:07:13"/>
    <x v="131"/>
  </r>
  <r>
    <x v="132"/>
    <x v="1"/>
    <s v="Cipe"/>
    <x v="131"/>
    <s v="BVA Auseklis"/>
    <s v="1:20:11"/>
    <x v="117"/>
  </r>
  <r>
    <x v="131"/>
    <x v="1"/>
    <s v="Cipulis"/>
    <x v="51"/>
    <s v="Rīga"/>
    <s v="1:25:22"/>
    <x v="143"/>
  </r>
  <r>
    <x v="182"/>
    <x v="5"/>
    <s v="Circāns"/>
    <x v="66"/>
    <s v=""/>
    <s v="1:54:02"/>
    <x v="72"/>
  </r>
  <r>
    <x v="183"/>
    <x v="3"/>
    <s v="Circene"/>
    <x v="132"/>
    <s v=""/>
    <s v="1:27:42"/>
    <x v="24"/>
  </r>
  <r>
    <x v="21"/>
    <x v="3"/>
    <s v="Cīrule"/>
    <x v="36"/>
    <s v=""/>
    <s v="1:48:43"/>
    <x v="144"/>
  </r>
  <r>
    <x v="184"/>
    <x v="16"/>
    <s v="Cīrule"/>
    <x v="109"/>
    <s v="Valka"/>
    <s v="1:23:10"/>
    <x v="4"/>
  </r>
  <r>
    <x v="89"/>
    <x v="2"/>
    <s v="Cīrulis"/>
    <x v="22"/>
    <s v="Bensons Auto"/>
    <s v="1:10:14"/>
    <x v="128"/>
  </r>
  <r>
    <x v="9"/>
    <x v="2"/>
    <s v="Cīrulis"/>
    <x v="90"/>
    <s v="Reir"/>
    <s v="1:02:21"/>
    <x v="120"/>
  </r>
  <r>
    <x v="93"/>
    <x v="4"/>
    <s v="Cīrulis"/>
    <x v="133"/>
    <s v=""/>
    <s v="1:46:28"/>
    <x v="69"/>
  </r>
  <r>
    <x v="59"/>
    <x v="5"/>
    <s v="Cīrulis"/>
    <x v="67"/>
    <s v=""/>
    <s v="1:16:02"/>
    <x v="45"/>
  </r>
  <r>
    <x v="185"/>
    <x v="2"/>
    <s v="Cīrulis"/>
    <x v="52"/>
    <s v=""/>
    <s v="1:04:23"/>
    <x v="44"/>
  </r>
  <r>
    <x v="89"/>
    <x v="2"/>
    <s v="Cirvelis"/>
    <x v="74"/>
    <s v="Rīga"/>
    <s v="1:30:45"/>
    <x v="34"/>
  </r>
  <r>
    <x v="65"/>
    <x v="2"/>
    <s v="Citskovskis"/>
    <x v="19"/>
    <s v="Rīga"/>
    <s v="1:31:59"/>
    <x v="145"/>
  </r>
  <r>
    <x v="186"/>
    <x v="2"/>
    <s v="Čavars"/>
    <x v="88"/>
    <s v="Ikšķile"/>
    <s v="1:09:30"/>
    <x v="78"/>
  </r>
  <r>
    <x v="5"/>
    <x v="2"/>
    <s v="Čeksteris"/>
    <x v="52"/>
    <s v="Krimuldas vsk."/>
    <s v="1:41:52"/>
    <x v="52"/>
  </r>
  <r>
    <x v="88"/>
    <x v="5"/>
    <s v="Čeksters"/>
    <x v="3"/>
    <s v=""/>
    <s v="1:21:53"/>
    <x v="73"/>
  </r>
  <r>
    <x v="187"/>
    <x v="3"/>
    <s v="Čerņavska"/>
    <x v="134"/>
    <s v="Rīga"/>
    <s v="1:50:00"/>
    <x v="137"/>
  </r>
  <r>
    <x v="188"/>
    <x v="3"/>
    <s v="Čiekure"/>
    <x v="135"/>
    <s v=""/>
    <s v="1:45:22"/>
    <x v="146"/>
  </r>
  <r>
    <x v="189"/>
    <x v="2"/>
    <s v="Čiekurs"/>
    <x v="136"/>
    <s v=""/>
    <s v="1:43:01"/>
    <x v="66"/>
  </r>
  <r>
    <x v="16"/>
    <x v="2"/>
    <s v="Čigurs"/>
    <x v="24"/>
    <s v="BRT"/>
    <s v="1:21:03"/>
    <x v="4"/>
  </r>
  <r>
    <x v="53"/>
    <x v="1"/>
    <s v="Čipots"/>
    <x v="44"/>
    <s v=""/>
    <s v="1:23:13"/>
    <x v="4"/>
  </r>
  <r>
    <x v="190"/>
    <x v="2"/>
    <s v="Čiževskis"/>
    <x v="137"/>
    <s v="JAM"/>
    <s v="1:12:40"/>
    <x v="49"/>
  </r>
  <r>
    <x v="118"/>
    <x v="0"/>
    <s v="Čūdere"/>
    <x v="87"/>
    <s v=""/>
    <s v="1:51:42"/>
    <x v="144"/>
  </r>
  <r>
    <x v="191"/>
    <x v="3"/>
    <s v="Čukure"/>
    <x v="138"/>
    <s v="Liepāja"/>
    <s v="1:26:14"/>
    <x v="147"/>
  </r>
  <r>
    <x v="1"/>
    <x v="5"/>
    <s v="Čukurs"/>
    <x v="39"/>
    <s v="Liepāja"/>
    <s v="1:06:25"/>
    <x v="148"/>
  </r>
  <r>
    <x v="117"/>
    <x v="0"/>
    <s v="Čuņčule"/>
    <x v="139"/>
    <s v="Veloserviss"/>
    <s v="2:04:11"/>
    <x v="119"/>
  </r>
  <r>
    <x v="51"/>
    <x v="3"/>
    <s v="Dābola"/>
    <x v="140"/>
    <s v="Bensons auto"/>
    <s v="1:41:15"/>
    <x v="15"/>
  </r>
  <r>
    <x v="92"/>
    <x v="5"/>
    <s v="Daģis"/>
    <x v="51"/>
    <s v=""/>
    <s v="1:17:30"/>
    <x v="71"/>
  </r>
  <r>
    <x v="192"/>
    <x v="11"/>
    <s v="Dainis"/>
    <x v="15"/>
    <s v="Valka"/>
    <s v="1:47:21"/>
    <x v="149"/>
  </r>
  <r>
    <x v="182"/>
    <x v="13"/>
    <s v="Dakteris"/>
    <x v="19"/>
    <s v="Sprints AVK Tukums"/>
    <s v="1:11:56"/>
    <x v="150"/>
  </r>
  <r>
    <x v="193"/>
    <x v="13"/>
    <s v="Dakteris"/>
    <x v="19"/>
    <s v="Sprints AVK Tukums"/>
    <s v="1:18:39"/>
    <x v="151"/>
  </r>
  <r>
    <x v="194"/>
    <x v="2"/>
    <s v="Daktiņš"/>
    <x v="9"/>
    <s v="Hansabanka"/>
    <s v="1:14:10"/>
    <x v="152"/>
  </r>
  <r>
    <x v="21"/>
    <x v="2"/>
    <s v="Dalderis"/>
    <x v="131"/>
    <s v=""/>
    <s v="1:11:15"/>
    <x v="83"/>
  </r>
  <r>
    <x v="89"/>
    <x v="2"/>
    <s v="Dambekalns"/>
    <x v="141"/>
    <s v="Rīga"/>
    <s v="1:21:12"/>
    <x v="8"/>
  </r>
  <r>
    <x v="195"/>
    <x v="3"/>
    <s v="Dambeniece"/>
    <x v="142"/>
    <s v="&quot;Projekts Pēdas&quot;"/>
    <s v="1:27:24"/>
    <x v="153"/>
  </r>
  <r>
    <x v="196"/>
    <x v="2"/>
    <s v="Dambenieks"/>
    <x v="113"/>
    <s v="&quot;Projekts Pēdas&quot;"/>
    <s v="1:36:25"/>
    <x v="154"/>
  </r>
  <r>
    <x v="197"/>
    <x v="2"/>
    <s v="Dambinieks"/>
    <x v="35"/>
    <s v="Rīga"/>
    <s v="1:13:51"/>
    <x v="45"/>
  </r>
  <r>
    <x v="198"/>
    <x v="3"/>
    <s v="Daniļina"/>
    <x v="143"/>
    <s v="Rīga"/>
    <s v="1:32:30"/>
    <x v="138"/>
  </r>
  <r>
    <x v="159"/>
    <x v="1"/>
    <s v="Dannebergs"/>
    <x v="129"/>
    <s v=""/>
    <s v="1:13:48"/>
    <x v="92"/>
  </r>
  <r>
    <x v="51"/>
    <x v="3"/>
    <s v="Daņiļeviča"/>
    <x v="144"/>
    <s v="Z-Pols"/>
    <s v="1:40:34"/>
    <x v="134"/>
  </r>
  <r>
    <x v="76"/>
    <x v="1"/>
    <s v="Dasko"/>
    <x v="145"/>
    <s v="Ventspils"/>
    <s v="1:06:41"/>
    <x v="155"/>
  </r>
  <r>
    <x v="199"/>
    <x v="2"/>
    <s v="Daugaviņš"/>
    <x v="78"/>
    <s v="Berģi"/>
    <s v="1:14:11"/>
    <x v="152"/>
  </r>
  <r>
    <x v="200"/>
    <x v="3"/>
    <s v="Daugule"/>
    <x v="124"/>
    <s v="Hansabanka"/>
    <s v="1:47:26"/>
    <x v="156"/>
  </r>
  <r>
    <x v="201"/>
    <x v="2"/>
    <s v="Dauksts"/>
    <x v="44"/>
    <s v="&quot;Projekts Pēdas&quot;"/>
    <s v="1:24:10"/>
    <x v="122"/>
  </r>
  <r>
    <x v="202"/>
    <x v="3"/>
    <s v="Deičmane"/>
    <x v="34"/>
    <s v="Krimuldas vsk."/>
    <s v="1:49:08"/>
    <x v="23"/>
  </r>
  <r>
    <x v="203"/>
    <x v="2"/>
    <s v="Deičmanis"/>
    <x v="146"/>
    <s v="Krimuldas vsk."/>
    <s v="1:16:33"/>
    <x v="151"/>
  </r>
  <r>
    <x v="204"/>
    <x v="2"/>
    <s v="Deičmanis"/>
    <x v="55"/>
    <s v="Krimuldas vsk."/>
    <s v="1:29:00"/>
    <x v="70"/>
  </r>
  <r>
    <x v="100"/>
    <x v="2"/>
    <s v="Deksnis"/>
    <x v="19"/>
    <s v=""/>
    <s v="1:18:50"/>
    <x v="79"/>
  </r>
  <r>
    <x v="205"/>
    <x v="2"/>
    <s v="Delle"/>
    <x v="147"/>
    <s v="Hansabanka"/>
    <s v="1:17:02"/>
    <x v="157"/>
  </r>
  <r>
    <x v="206"/>
    <x v="3"/>
    <s v="Deniņa"/>
    <x v="148"/>
    <s v="&quot;Projekts Pēdas&quot;"/>
    <s v="1:45:14"/>
    <x v="146"/>
  </r>
  <r>
    <x v="207"/>
    <x v="16"/>
    <s v="Dergača"/>
    <x v="149"/>
    <s v="Spars"/>
    <s v="1:20:57"/>
    <x v="79"/>
  </r>
  <r>
    <x v="28"/>
    <x v="1"/>
    <s v="Derrings"/>
    <x v="1"/>
    <s v=""/>
    <s v="1:15:51"/>
    <x v="45"/>
  </r>
  <r>
    <x v="208"/>
    <x v="2"/>
    <s v="Detlavs"/>
    <x v="7"/>
    <s v="Bensons Auto"/>
    <s v="1:05:56"/>
    <x v="56"/>
  </r>
  <r>
    <x v="209"/>
    <x v="2"/>
    <s v="Detlavs"/>
    <x v="19"/>
    <s v="Bensons Auto"/>
    <s v="1:35:23"/>
    <x v="47"/>
  </r>
  <r>
    <x v="210"/>
    <x v="2"/>
    <s v="Dievkociņš"/>
    <x v="25"/>
    <s v="Velo-30"/>
    <s v="1:22:25"/>
    <x v="3"/>
  </r>
  <r>
    <x v="76"/>
    <x v="5"/>
    <s v="Dillon"/>
    <x v="150"/>
    <s v="Trek Philips"/>
    <s v="1:20:16"/>
    <x v="117"/>
  </r>
  <r>
    <x v="211"/>
    <x v="8"/>
    <s v="Dimza"/>
    <x v="49"/>
    <s v="Tukums KMK"/>
    <s v="1:38:59"/>
    <x v="28"/>
  </r>
  <r>
    <x v="117"/>
    <x v="1"/>
    <s v="Dmitrijevs"/>
    <x v="15"/>
    <s v="Kuldīgas sporta sk."/>
    <s v="1:05:49"/>
    <x v="77"/>
  </r>
  <r>
    <x v="212"/>
    <x v="3"/>
    <s v="Dombrovska"/>
    <x v="151"/>
    <s v=""/>
    <s v="1:17:51"/>
    <x v="117"/>
  </r>
  <r>
    <x v="213"/>
    <x v="2"/>
    <s v="Dombrovskis"/>
    <x v="152"/>
    <s v=""/>
    <s v="1:17:36"/>
    <x v="26"/>
  </r>
  <r>
    <x v="214"/>
    <x v="12"/>
    <s v="Donalds"/>
    <x v="153"/>
    <s v="Beitāni"/>
    <s v="1:38:55"/>
    <x v="28"/>
  </r>
  <r>
    <x v="215"/>
    <x v="2"/>
    <s v="Dorošs"/>
    <x v="154"/>
    <s v="Velomaniac"/>
    <s v="1:05:40"/>
    <x v="158"/>
  </r>
  <r>
    <x v="193"/>
    <x v="14"/>
    <s v="Dragels"/>
    <x v="155"/>
    <s v=""/>
    <s v="1:59:53"/>
    <x v="159"/>
  </r>
  <r>
    <x v="172"/>
    <x v="1"/>
    <s v="Draugs"/>
    <x v="156"/>
    <s v="NN-Marss"/>
    <s v="1:00:53"/>
    <x v="160"/>
  </r>
  <r>
    <x v="139"/>
    <x v="5"/>
    <s v="Dravants"/>
    <x v="157"/>
    <s v="Cēsis"/>
    <s v="1:19:56"/>
    <x v="26"/>
  </r>
  <r>
    <x v="184"/>
    <x v="6"/>
    <s v="Dravnieks"/>
    <x v="65"/>
    <s v="Iecava"/>
    <s v="1:18:54"/>
    <x v="14"/>
  </r>
  <r>
    <x v="216"/>
    <x v="3"/>
    <s v="Droškina"/>
    <x v="143"/>
    <s v=""/>
    <s v="1:36:29"/>
    <x v="154"/>
  </r>
  <r>
    <x v="184"/>
    <x v="5"/>
    <s v="Drozdovs"/>
    <x v="158"/>
    <s v="mtb.lv"/>
    <s v="1:16:02"/>
    <x v="45"/>
  </r>
  <r>
    <x v="217"/>
    <x v="2"/>
    <s v="Drozdovs"/>
    <x v="159"/>
    <s v="mtb.lv"/>
    <s v="1:03:38"/>
    <x v="116"/>
  </r>
  <r>
    <x v="83"/>
    <x v="3"/>
    <s v="Dundure"/>
    <x v="34"/>
    <s v="www.247.lv"/>
    <s v="1:33:56"/>
    <x v="161"/>
  </r>
  <r>
    <x v="218"/>
    <x v="3"/>
    <s v="Dundure"/>
    <x v="127"/>
    <s v=""/>
    <s v="2:20:16"/>
    <x v="106"/>
  </r>
  <r>
    <x v="59"/>
    <x v="1"/>
    <s v="Dzalbs"/>
    <x v="160"/>
    <s v="Fuji Team"/>
    <s v="1:01:03"/>
    <x v="63"/>
  </r>
  <r>
    <x v="146"/>
    <x v="2"/>
    <s v="Dzirnieks"/>
    <x v="114"/>
    <s v="IR"/>
    <s v="1:21:00"/>
    <x v="4"/>
  </r>
  <r>
    <x v="219"/>
    <x v="2"/>
    <s v="Dzirnieks"/>
    <x v="6"/>
    <s v="Ādažu vsk."/>
    <s v="1:07:58"/>
    <x v="54"/>
  </r>
  <r>
    <x v="6"/>
    <x v="1"/>
    <s v="Dzirvinskis"/>
    <x v="161"/>
    <s v=""/>
    <s v="1:13:56"/>
    <x v="92"/>
  </r>
  <r>
    <x v="91"/>
    <x v="15"/>
    <s v="Dzīvītis"/>
    <x v="78"/>
    <s v="Bauska"/>
    <s v="1:13:26"/>
    <x v="83"/>
  </r>
  <r>
    <x v="220"/>
    <x v="2"/>
    <s v="Dzīvītis"/>
    <x v="46"/>
    <s v="Bauska"/>
    <s v="1:12:05"/>
    <x v="39"/>
  </r>
  <r>
    <x v="221"/>
    <x v="2"/>
    <s v="Dzīvītis"/>
    <x v="19"/>
    <s v="Bauska"/>
    <s v="1:13:32"/>
    <x v="17"/>
  </r>
  <r>
    <x v="59"/>
    <x v="5"/>
    <s v="Eglīte"/>
    <x v="131"/>
    <s v="Hawaii Express"/>
    <s v="1:20:11"/>
    <x v="117"/>
  </r>
  <r>
    <x v="222"/>
    <x v="3"/>
    <s v="Eglīte"/>
    <x v="162"/>
    <s v=""/>
    <s v="1:19:22"/>
    <x v="85"/>
  </r>
  <r>
    <x v="73"/>
    <x v="2"/>
    <s v="Eglītis"/>
    <x v="61"/>
    <s v="Rīga"/>
    <s v="1:16:28"/>
    <x v="151"/>
  </r>
  <r>
    <x v="223"/>
    <x v="2"/>
    <s v="Eglītis"/>
    <x v="49"/>
    <s v=""/>
    <s v="1:08:06"/>
    <x v="54"/>
  </r>
  <r>
    <x v="91"/>
    <x v="0"/>
    <s v="Eiduka"/>
    <x v="163"/>
    <s v="ZZK"/>
    <s v="1:10:00"/>
    <x v="54"/>
  </r>
  <r>
    <x v="224"/>
    <x v="1"/>
    <s v="Eiduks"/>
    <x v="130"/>
    <s v="ZZK"/>
    <s v="1:15:23"/>
    <x v="93"/>
  </r>
  <r>
    <x v="225"/>
    <x v="2"/>
    <s v="Eiduks"/>
    <x v="19"/>
    <s v=""/>
    <s v="1:09:57"/>
    <x v="150"/>
  </r>
  <r>
    <x v="226"/>
    <x v="4"/>
    <s v="Eislers"/>
    <x v="164"/>
    <s v="Smiltene-Spectus"/>
    <s v="1:01:10"/>
    <x v="63"/>
  </r>
  <r>
    <x v="23"/>
    <x v="13"/>
    <s v="Eislers"/>
    <x v="2"/>
    <s v="Smiltene/Specuts"/>
    <s v="1:15:47"/>
    <x v="17"/>
  </r>
  <r>
    <x v="92"/>
    <x v="5"/>
    <s v="Eliass"/>
    <x v="61"/>
    <s v=""/>
    <s v="1:15:57"/>
    <x v="45"/>
  </r>
  <r>
    <x v="227"/>
    <x v="2"/>
    <s v="Elksnīts"/>
    <x v="47"/>
    <s v=""/>
    <s v="1:35:31"/>
    <x v="30"/>
  </r>
  <r>
    <x v="62"/>
    <x v="2"/>
    <s v="Elsons"/>
    <x v="20"/>
    <s v="Kalngale"/>
    <s v="1:42:03"/>
    <x v="103"/>
  </r>
  <r>
    <x v="62"/>
    <x v="2"/>
    <s v="Elsons"/>
    <x v="165"/>
    <s v="Kalngale"/>
    <s v="1:42:04"/>
    <x v="103"/>
  </r>
  <r>
    <x v="228"/>
    <x v="2"/>
    <s v="Empelis"/>
    <x v="166"/>
    <s v="Tandēms"/>
    <s v="1:13:28"/>
    <x v="17"/>
  </r>
  <r>
    <x v="88"/>
    <x v="1"/>
    <s v="Ennītis"/>
    <x v="19"/>
    <s v="Varavīksne"/>
    <s v="1:25:11"/>
    <x v="143"/>
  </r>
  <r>
    <x v="229"/>
    <x v="3"/>
    <s v="Erdmane"/>
    <x v="167"/>
    <s v=""/>
    <s v="1:20:05"/>
    <x v="162"/>
  </r>
  <r>
    <x v="230"/>
    <x v="2"/>
    <s v="Ērglis"/>
    <x v="32"/>
    <s v=""/>
    <s v="1:45:38"/>
    <x v="121"/>
  </r>
  <r>
    <x v="48"/>
    <x v="5"/>
    <s v="Eriņš"/>
    <x v="28"/>
    <s v=""/>
    <s v="1:10:41"/>
    <x v="20"/>
  </r>
  <r>
    <x v="231"/>
    <x v="2"/>
    <s v="Eriņš"/>
    <x v="55"/>
    <s v=""/>
    <s v="1:45:19"/>
    <x v="146"/>
  </r>
  <r>
    <x v="88"/>
    <x v="5"/>
    <s v="Ērmanis"/>
    <x v="22"/>
    <s v="Rīga"/>
    <s v="1:30:54"/>
    <x v="87"/>
  </r>
  <r>
    <x v="232"/>
    <x v="12"/>
    <s v="Ermansons"/>
    <x v="168"/>
    <s v=""/>
    <s v="1:39:32"/>
    <x v="163"/>
  </r>
  <r>
    <x v="85"/>
    <x v="1"/>
    <s v="Ermiņš"/>
    <x v="5"/>
    <s v="Hansabanka"/>
    <s v="1:31:07"/>
    <x v="87"/>
  </r>
  <r>
    <x v="132"/>
    <x v="1"/>
    <s v="Fedosjonoks"/>
    <x v="1"/>
    <s v=""/>
    <s v="1:19:34"/>
    <x v="98"/>
  </r>
  <r>
    <x v="233"/>
    <x v="9"/>
    <s v="Fedotovs"/>
    <x v="169"/>
    <s v="Zumus"/>
    <s v="1:41:54"/>
    <x v="164"/>
  </r>
  <r>
    <x v="234"/>
    <x v="2"/>
    <s v="Fels"/>
    <x v="129"/>
    <s v="V-sports"/>
    <s v="1:42:55"/>
    <x v="80"/>
  </r>
  <r>
    <x v="235"/>
    <x v="3"/>
    <s v="Felsa"/>
    <x v="170"/>
    <s v=""/>
    <s v="1:42:54"/>
    <x v="80"/>
  </r>
  <r>
    <x v="236"/>
    <x v="2"/>
    <s v="Filipsons"/>
    <x v="19"/>
    <s v=""/>
    <s v="1:06:40"/>
    <x v="31"/>
  </r>
  <r>
    <x v="67"/>
    <x v="3"/>
    <s v="Finartija"/>
    <x v="171"/>
    <s v="Piņķi"/>
    <s v="1:36:43"/>
    <x v="154"/>
  </r>
  <r>
    <x v="67"/>
    <x v="2"/>
    <s v="Finartijs"/>
    <x v="157"/>
    <s v="Babīte"/>
    <s v="1:17:33"/>
    <x v="26"/>
  </r>
  <r>
    <x v="164"/>
    <x v="13"/>
    <s v="Flaksis"/>
    <x v="172"/>
    <s v="Dunalka"/>
    <s v="1:55:29"/>
    <x v="32"/>
  </r>
  <r>
    <x v="237"/>
    <x v="9"/>
    <s v="Flaksis"/>
    <x v="52"/>
    <s v="Dunalka"/>
    <s v="1:50:51"/>
    <x v="165"/>
  </r>
  <r>
    <x v="209"/>
    <x v="2"/>
    <s v="Fogelis"/>
    <x v="173"/>
    <s v="Sigulda"/>
    <s v="1:11:55"/>
    <x v="92"/>
  </r>
  <r>
    <x v="238"/>
    <x v="2"/>
    <s v="Fogels"/>
    <x v="174"/>
    <s v="&quot;Projekts Pēdas&quot;"/>
    <s v="1:17:16"/>
    <x v="98"/>
  </r>
  <r>
    <x v="239"/>
    <x v="2"/>
    <s v="Fogels"/>
    <x v="175"/>
    <s v="&quot;Projekts Pēdas&quot;"/>
    <s v="1:34:57"/>
    <x v="67"/>
  </r>
  <r>
    <x v="197"/>
    <x v="3"/>
    <s v="Fomina"/>
    <x v="176"/>
    <s v="Rīga"/>
    <s v="1:39:11"/>
    <x v="16"/>
  </r>
  <r>
    <x v="73"/>
    <x v="2"/>
    <s v="Fomins"/>
    <x v="177"/>
    <s v="Liepāja"/>
    <s v="1:42:28"/>
    <x v="80"/>
  </r>
  <r>
    <x v="131"/>
    <x v="0"/>
    <s v="Freda"/>
    <x v="178"/>
    <s v="Concorde"/>
    <s v="1:19:57"/>
    <x v="26"/>
  </r>
  <r>
    <x v="226"/>
    <x v="1"/>
    <s v="Frejs"/>
    <x v="8"/>
    <s v="Hansabanka"/>
    <s v="1:13:27"/>
    <x v="83"/>
  </r>
  <r>
    <x v="240"/>
    <x v="8"/>
    <s v="Frīdenbergs"/>
    <x v="110"/>
    <s v="Talsi"/>
    <s v="1:39:44"/>
    <x v="166"/>
  </r>
  <r>
    <x v="28"/>
    <x v="15"/>
    <s v="Fridrihsons"/>
    <x v="24"/>
    <s v=""/>
    <s v="1:19:10"/>
    <x v="157"/>
  </r>
  <r>
    <x v="120"/>
    <x v="1"/>
    <s v="Frišfelds"/>
    <x v="47"/>
    <s v=""/>
    <s v="1:18:41"/>
    <x v="151"/>
  </r>
  <r>
    <x v="226"/>
    <x v="0"/>
    <s v="Fūrmane"/>
    <x v="87"/>
    <s v="3V"/>
    <s v="1:13:34"/>
    <x v="40"/>
  </r>
  <r>
    <x v="91"/>
    <x v="1"/>
    <s v="Fūrmanis"/>
    <x v="22"/>
    <s v="3V"/>
    <s v="1:06:12"/>
    <x v="44"/>
  </r>
  <r>
    <x v="241"/>
    <x v="3"/>
    <s v="Gabrāne"/>
    <x v="43"/>
    <s v=""/>
    <s v="1:58:31"/>
    <x v="142"/>
  </r>
  <r>
    <x v="91"/>
    <x v="1"/>
    <s v="Gagainis"/>
    <x v="22"/>
    <s v="Fans Cube Team"/>
    <s v="1:11:51"/>
    <x v="150"/>
  </r>
  <r>
    <x v="194"/>
    <x v="2"/>
    <s v="Gailis"/>
    <x v="175"/>
    <s v="Rīga"/>
    <s v="1:22:10"/>
    <x v="108"/>
  </r>
  <r>
    <x v="70"/>
    <x v="1"/>
    <s v="Gailis"/>
    <x v="157"/>
    <s v=""/>
    <s v="1:16:02"/>
    <x v="45"/>
  </r>
  <r>
    <x v="105"/>
    <x v="4"/>
    <s v="Gailītis"/>
    <x v="55"/>
    <s v="Smiltene"/>
    <s v="1:13:50"/>
    <x v="92"/>
  </r>
  <r>
    <x v="105"/>
    <x v="5"/>
    <s v="Gailītis"/>
    <x v="179"/>
    <s v="Smiltene"/>
    <s v="1:43:29"/>
    <x v="134"/>
  </r>
  <r>
    <x v="242"/>
    <x v="7"/>
    <s v="Gailums"/>
    <x v="19"/>
    <s v=""/>
    <s v="2:14:38"/>
    <x v="56"/>
  </r>
  <r>
    <x v="70"/>
    <x v="2"/>
    <s v="Galejs"/>
    <x v="88"/>
    <s v=""/>
    <s v="1:02:44"/>
    <x v="167"/>
  </r>
  <r>
    <x v="76"/>
    <x v="2"/>
    <s v="Galinauskas"/>
    <x v="180"/>
    <s v="ZZK"/>
    <s v="1:02:34"/>
    <x v="43"/>
  </r>
  <r>
    <x v="194"/>
    <x v="2"/>
    <s v="Gaļinovskis"/>
    <x v="152"/>
    <s v="Rīga"/>
    <s v="1:18:17"/>
    <x v="84"/>
  </r>
  <r>
    <x v="23"/>
    <x v="6"/>
    <s v="Garenčiks"/>
    <x v="131"/>
    <s v="Carnikava"/>
    <s v="1:17:13"/>
    <x v="94"/>
  </r>
  <r>
    <x v="59"/>
    <x v="4"/>
    <s v="Garkalns"/>
    <x v="52"/>
    <s v=""/>
    <s v="1:46:58"/>
    <x v="168"/>
  </r>
  <r>
    <x v="13"/>
    <x v="16"/>
    <s v="Gasūna"/>
    <x v="181"/>
    <s v="Siguldas sporta sk."/>
    <s v="1:21:04"/>
    <x v="79"/>
  </r>
  <r>
    <x v="243"/>
    <x v="3"/>
    <s v="Gatere"/>
    <x v="144"/>
    <s v="&quot;Projekts Pēda"/>
    <s v="1:46:38"/>
    <x v="109"/>
  </r>
  <r>
    <x v="244"/>
    <x v="2"/>
    <s v="Gauja"/>
    <x v="82"/>
    <s v="Kuldīga"/>
    <s v="1:10:50"/>
    <x v="169"/>
  </r>
  <r>
    <x v="198"/>
    <x v="3"/>
    <s v="Gavare"/>
    <x v="182"/>
    <s v="Sigulda"/>
    <s v="1:52:21"/>
    <x v="170"/>
  </r>
  <r>
    <x v="197"/>
    <x v="3"/>
    <s v="Gavare"/>
    <x v="111"/>
    <s v="Rīga"/>
    <s v="2:03:53"/>
    <x v="18"/>
  </r>
  <r>
    <x v="197"/>
    <x v="3"/>
    <s v="Gavare"/>
    <x v="183"/>
    <s v="Rīga"/>
    <s v="1:59:22"/>
    <x v="0"/>
  </r>
  <r>
    <x v="197"/>
    <x v="2"/>
    <s v="Gavars"/>
    <x v="19"/>
    <s v="Rīga"/>
    <s v="2:04:28"/>
    <x v="171"/>
  </r>
  <r>
    <x v="245"/>
    <x v="2"/>
    <s v="Gavars"/>
    <x v="3"/>
    <s v="Rīga"/>
    <s v="1:59:15"/>
    <x v="172"/>
  </r>
  <r>
    <x v="0"/>
    <x v="5"/>
    <s v="Gavars"/>
    <x v="90"/>
    <s v="Sigulda"/>
    <s v="1:32:01"/>
    <x v="76"/>
  </r>
  <r>
    <x v="246"/>
    <x v="12"/>
    <s v="Gāze"/>
    <x v="184"/>
    <s v="Zumus"/>
    <s v="1:39:04"/>
    <x v="28"/>
  </r>
  <r>
    <x v="247"/>
    <x v="3"/>
    <s v="Gedrovica"/>
    <x v="185"/>
    <s v=""/>
    <s v="1:25:12"/>
    <x v="130"/>
  </r>
  <r>
    <x v="139"/>
    <x v="5"/>
    <s v="Gedrovics"/>
    <x v="186"/>
    <s v=""/>
    <s v="1:19:10"/>
    <x v="157"/>
  </r>
  <r>
    <x v="80"/>
    <x v="5"/>
    <s v="Gedrovics"/>
    <x v="46"/>
    <s v=""/>
    <s v="1:30:32"/>
    <x v="62"/>
  </r>
  <r>
    <x v="248"/>
    <x v="3"/>
    <s v="Geduša"/>
    <x v="187"/>
    <s v="Ondulat"/>
    <s v="1:31:54"/>
    <x v="145"/>
  </r>
  <r>
    <x v="249"/>
    <x v="2"/>
    <s v="Gedušs"/>
    <x v="3"/>
    <s v="Ondulat"/>
    <s v="1:33:39"/>
    <x v="173"/>
  </r>
  <r>
    <x v="250"/>
    <x v="2"/>
    <s v="Geraskins"/>
    <x v="10"/>
    <s v=""/>
    <s v="1:34:55"/>
    <x v="67"/>
  </r>
  <r>
    <x v="251"/>
    <x v="9"/>
    <s v="Gerīnbergs"/>
    <x v="44"/>
    <s v="Marss"/>
    <s v="1:39:00"/>
    <x v="28"/>
  </r>
  <r>
    <x v="119"/>
    <x v="1"/>
    <s v="Gerliņš"/>
    <x v="52"/>
    <s v=""/>
    <s v="1:50:57"/>
    <x v="13"/>
  </r>
  <r>
    <x v="36"/>
    <x v="2"/>
    <s v="Geta"/>
    <x v="103"/>
    <s v="Rīga"/>
    <s v="1:07:20"/>
    <x v="41"/>
  </r>
  <r>
    <x v="252"/>
    <x v="3"/>
    <s v="Gibze"/>
    <x v="188"/>
    <s v="Hansabanka"/>
    <s v="1:56:48"/>
    <x v="37"/>
  </r>
  <r>
    <x v="140"/>
    <x v="2"/>
    <s v="Gilucis"/>
    <x v="114"/>
    <s v="Vecdaugava"/>
    <s v="1:01:30"/>
    <x v="174"/>
  </r>
  <r>
    <x v="253"/>
    <x v="3"/>
    <s v="Gintere"/>
    <x v="189"/>
    <s v="SK Favorīts"/>
    <s v="2:09:43"/>
    <x v="175"/>
  </r>
  <r>
    <x v="136"/>
    <x v="1"/>
    <s v="Goba"/>
    <x v="9"/>
    <s v=""/>
    <s v="1:39:41"/>
    <x v="60"/>
  </r>
  <r>
    <x v="254"/>
    <x v="2"/>
    <s v="Goģis"/>
    <x v="13"/>
    <s v="&quot;Projekts Pēdas&quot;"/>
    <s v="1:10:20"/>
    <x v="19"/>
  </r>
  <r>
    <x v="255"/>
    <x v="2"/>
    <s v="Goldbergs"/>
    <x v="113"/>
    <s v="Rīga"/>
    <s v="1:50:00"/>
    <x v="137"/>
  </r>
  <r>
    <x v="5"/>
    <x v="2"/>
    <s v="Goncaronoks"/>
    <x v="190"/>
    <s v=""/>
    <s v="1:09:53"/>
    <x v="150"/>
  </r>
  <r>
    <x v="1"/>
    <x v="1"/>
    <s v="Gončars"/>
    <x v="9"/>
    <s v=""/>
    <s v="1:24:44"/>
    <x v="3"/>
  </r>
  <r>
    <x v="256"/>
    <x v="2"/>
    <s v="Gorodeckis"/>
    <x v="126"/>
    <s v="Hansabanka"/>
    <s v="1:06:50"/>
    <x v="176"/>
  </r>
  <r>
    <x v="90"/>
    <x v="6"/>
    <s v="Gotfridsons"/>
    <x v="60"/>
    <s v="Fuji Team"/>
    <s v="1:09:22"/>
    <x v="41"/>
  </r>
  <r>
    <x v="94"/>
    <x v="1"/>
    <s v="Gradkovskis"/>
    <x v="191"/>
    <s v="Daugavpils"/>
    <s v="1:14:47"/>
    <x v="49"/>
  </r>
  <r>
    <x v="146"/>
    <x v="2"/>
    <s v="Grams"/>
    <x v="47"/>
    <s v="Sigulda"/>
    <s v="1:39:47"/>
    <x v="11"/>
  </r>
  <r>
    <x v="9"/>
    <x v="0"/>
    <s v="Gransberga"/>
    <x v="41"/>
    <s v="Bosch"/>
    <s v="2:24:10"/>
    <x v="106"/>
  </r>
  <r>
    <x v="90"/>
    <x v="1"/>
    <s v="Grass"/>
    <x v="20"/>
    <s v="Zumus"/>
    <s v="1:07:18"/>
    <x v="97"/>
  </r>
  <r>
    <x v="170"/>
    <x v="6"/>
    <s v="Grebežnieks"/>
    <x v="88"/>
    <s v="Salaspils Zīriņi"/>
    <s v="1:42:45"/>
    <x v="11"/>
  </r>
  <r>
    <x v="93"/>
    <x v="15"/>
    <s v="Greckis"/>
    <x v="192"/>
    <s v="mtb.lv"/>
    <s v="1:14:50"/>
    <x v="49"/>
  </r>
  <r>
    <x v="257"/>
    <x v="2"/>
    <s v="Grigalinovič"/>
    <x v="193"/>
    <s v="Frukava"/>
    <s v="1:01:39"/>
    <x v="177"/>
  </r>
  <r>
    <x v="136"/>
    <x v="13"/>
    <s v="Grigorjevs"/>
    <x v="102"/>
    <s v="Sigulda"/>
    <s v="1:08:30"/>
    <x v="31"/>
  </r>
  <r>
    <x v="198"/>
    <x v="2"/>
    <s v="Grīgs"/>
    <x v="110"/>
    <s v="Zeņģis Racing Team"/>
    <s v="1:23:51"/>
    <x v="88"/>
  </r>
  <r>
    <x v="258"/>
    <x v="2"/>
    <s v="Grikke"/>
    <x v="33"/>
    <s v="Elkor sports-author"/>
    <s v="1:14:34"/>
    <x v="12"/>
  </r>
  <r>
    <x v="259"/>
    <x v="3"/>
    <s v="Griķe"/>
    <x v="194"/>
    <s v=""/>
    <s v="1:34:14"/>
    <x v="99"/>
  </r>
  <r>
    <x v="170"/>
    <x v="2"/>
    <s v="Griķis"/>
    <x v="19"/>
    <s v=""/>
    <s v="1:34:15"/>
    <x v="99"/>
  </r>
  <r>
    <x v="260"/>
    <x v="2"/>
    <s v="Grinbergs"/>
    <x v="13"/>
    <s v="Krimuldas vsk."/>
    <s v="1:30:41"/>
    <x v="34"/>
  </r>
  <r>
    <x v="261"/>
    <x v="2"/>
    <s v="Grinbergs"/>
    <x v="22"/>
    <s v="Krimuldas vsk."/>
    <s v="1:12:57"/>
    <x v="96"/>
  </r>
  <r>
    <x v="184"/>
    <x v="6"/>
    <s v="Grīnbergs"/>
    <x v="88"/>
    <s v="Valka"/>
    <s v="1:25:31"/>
    <x v="7"/>
  </r>
  <r>
    <x v="262"/>
    <x v="2"/>
    <s v="Grīnbergs"/>
    <x v="52"/>
    <s v="&quot;Projekts Pēdas&quot;"/>
    <s v="1:15:26"/>
    <x v="71"/>
  </r>
  <r>
    <x v="263"/>
    <x v="2"/>
    <s v="Grīnhofs"/>
    <x v="52"/>
    <s v="&quot;Projekts Pēdas&quot;"/>
    <s v="1:25:15"/>
    <x v="130"/>
  </r>
  <r>
    <x v="264"/>
    <x v="2"/>
    <s v="Grīnhofs"/>
    <x v="24"/>
    <s v="&quot;Projekts Pēdas&quot;"/>
    <s v="1:28:02"/>
    <x v="62"/>
  </r>
  <r>
    <x v="265"/>
    <x v="3"/>
    <s v="Grīnmane"/>
    <x v="195"/>
    <s v="&quot;Projekts Pēdas&quot;"/>
    <s v="1:22:54"/>
    <x v="143"/>
  </r>
  <r>
    <x v="73"/>
    <x v="2"/>
    <s v="Grods"/>
    <x v="50"/>
    <s v=""/>
    <s v="1:08:50"/>
    <x v="20"/>
  </r>
  <r>
    <x v="266"/>
    <x v="3"/>
    <s v="Grundule"/>
    <x v="196"/>
    <s v="Viesnīca Santa"/>
    <s v="1:46:06"/>
    <x v="178"/>
  </r>
  <r>
    <x v="146"/>
    <x v="2"/>
    <s v="Grundulis"/>
    <x v="22"/>
    <s v="Zeņģis Racing Team"/>
    <s v="1:07:56"/>
    <x v="91"/>
  </r>
  <r>
    <x v="38"/>
    <x v="4"/>
    <s v="Gruziņš"/>
    <x v="74"/>
    <s v="Sprints AVK"/>
    <s v="1:44:42"/>
    <x v="52"/>
  </r>
  <r>
    <x v="197"/>
    <x v="3"/>
    <s v="Gulbe"/>
    <x v="197"/>
    <s v="Rīga"/>
    <s v="1:24:57"/>
    <x v="179"/>
  </r>
  <r>
    <x v="11"/>
    <x v="2"/>
    <s v="Gulbergs"/>
    <x v="198"/>
    <s v="SK More"/>
    <s v="1:14:58"/>
    <x v="125"/>
  </r>
  <r>
    <x v="89"/>
    <x v="2"/>
    <s v="Gulbis"/>
    <x v="63"/>
    <s v="Rīga"/>
    <s v="1:28:33"/>
    <x v="87"/>
  </r>
  <r>
    <x v="17"/>
    <x v="2"/>
    <s v="Guļevskis"/>
    <x v="8"/>
    <s v="Rīga"/>
    <s v="1:49:44"/>
    <x v="136"/>
  </r>
  <r>
    <x v="245"/>
    <x v="2"/>
    <s v="Guļevskis"/>
    <x v="136"/>
    <s v="Rīga"/>
    <s v="1:49:43"/>
    <x v="136"/>
  </r>
  <r>
    <x v="267"/>
    <x v="2"/>
    <s v="Guņkovs"/>
    <x v="158"/>
    <s v="Zepter"/>
    <s v="1:15:24"/>
    <x v="71"/>
  </r>
  <r>
    <x v="268"/>
    <x v="17"/>
    <s v="Gurtiņa"/>
    <x v="87"/>
    <s v="Vangaži"/>
    <s v="1:56:25"/>
    <x v="180"/>
  </r>
  <r>
    <x v="269"/>
    <x v="9"/>
    <s v="Guščins"/>
    <x v="199"/>
    <s v="Daugavpils"/>
    <s v="1:39:13"/>
    <x v="48"/>
  </r>
  <r>
    <x v="270"/>
    <x v="3"/>
    <s v="Gūtmane"/>
    <x v="200"/>
    <s v="Karlos K"/>
    <s v="1:44:46"/>
    <x v="27"/>
  </r>
  <r>
    <x v="140"/>
    <x v="6"/>
    <s v="Gvido Zvaigz"/>
    <x v="174"/>
    <s v="SK Brīvnieki"/>
    <s v="1:22:04"/>
    <x v="73"/>
  </r>
  <r>
    <x v="70"/>
    <x v="1"/>
    <s v="Ģērmanis"/>
    <x v="166"/>
    <s v="3V"/>
    <s v="1:09:13"/>
    <x v="131"/>
  </r>
  <r>
    <x v="22"/>
    <x v="2"/>
    <s v="Ģēvelis"/>
    <x v="23"/>
    <s v="Rīga"/>
    <s v="1:31:49"/>
    <x v="145"/>
  </r>
  <r>
    <x v="271"/>
    <x v="2"/>
    <s v="Ģinis"/>
    <x v="52"/>
    <s v=""/>
    <s v="1:25:11"/>
    <x v="130"/>
  </r>
  <r>
    <x v="272"/>
    <x v="10"/>
    <s v="Haritesku"/>
    <x v="201"/>
    <s v="Trek-Philips"/>
    <s v="1:38:49"/>
    <x v="35"/>
  </r>
  <r>
    <x v="120"/>
    <x v="1"/>
    <s v="Hartmanis"/>
    <x v="114"/>
    <s v=""/>
    <s v="1:14:13"/>
    <x v="39"/>
  </r>
  <r>
    <x v="90"/>
    <x v="1"/>
    <s v="Hāze"/>
    <x v="19"/>
    <s v="Otrā elpa"/>
    <s v="1:06:29"/>
    <x v="181"/>
  </r>
  <r>
    <x v="100"/>
    <x v="2"/>
    <s v="Heimrāts"/>
    <x v="49"/>
    <s v="Rīga"/>
    <s v="1:40:31"/>
    <x v="134"/>
  </r>
  <r>
    <x v="100"/>
    <x v="2"/>
    <s v="Heimrāts"/>
    <x v="52"/>
    <s v="Rīga"/>
    <s v="1:29:25"/>
    <x v="76"/>
  </r>
  <r>
    <x v="207"/>
    <x v="2"/>
    <s v="Heinols"/>
    <x v="22"/>
    <s v="Valmiera"/>
    <s v="0:59:57"/>
    <x v="75"/>
  </r>
  <r>
    <x v="273"/>
    <x v="3"/>
    <s v="Helmane"/>
    <x v="202"/>
    <s v="Salaspils Zīriņi"/>
    <s v="1:43:57"/>
    <x v="69"/>
  </r>
  <r>
    <x v="170"/>
    <x v="0"/>
    <s v="Hertmane"/>
    <x v="43"/>
    <s v=""/>
    <s v="1:39:18"/>
    <x v="154"/>
  </r>
  <r>
    <x v="140"/>
    <x v="0"/>
    <s v="Holma"/>
    <x v="140"/>
    <s v="Otrā elpa"/>
    <s v="1:27:35"/>
    <x v="130"/>
  </r>
  <r>
    <x v="226"/>
    <x v="1"/>
    <s v="Holšteins"/>
    <x v="44"/>
    <s v="p/k Tinis"/>
    <s v="1:08:52"/>
    <x v="182"/>
  </r>
  <r>
    <x v="274"/>
    <x v="2"/>
    <s v="Holšteins"/>
    <x v="114"/>
    <s v=""/>
    <s v="1:12:36"/>
    <x v="55"/>
  </r>
  <r>
    <x v="275"/>
    <x v="2"/>
    <s v="Iekļavs"/>
    <x v="42"/>
    <s v="Viesnīca Santa"/>
    <s v="1:13:52"/>
    <x v="45"/>
  </r>
  <r>
    <x v="276"/>
    <x v="2"/>
    <s v="Ieviņš"/>
    <x v="99"/>
    <s v="Cekules gaļas komb."/>
    <s v="2:02:43"/>
    <x v="183"/>
  </r>
  <r>
    <x v="277"/>
    <x v="2"/>
    <s v="Iklāvs"/>
    <x v="19"/>
    <s v="Gandrs"/>
    <s v="1:11:37"/>
    <x v="40"/>
  </r>
  <r>
    <x v="245"/>
    <x v="2"/>
    <s v="Īle"/>
    <x v="19"/>
    <s v="JAM"/>
    <s v="1:27:11"/>
    <x v="153"/>
  </r>
  <r>
    <x v="278"/>
    <x v="2"/>
    <s v="Ilmeļņickis"/>
    <x v="19"/>
    <s v="Ogre"/>
    <s v="1:16:37"/>
    <x v="151"/>
  </r>
  <r>
    <x v="90"/>
    <x v="5"/>
    <s v="Iļjenko"/>
    <x v="33"/>
    <s v="Valka"/>
    <s v="1:05:52"/>
    <x v="184"/>
  </r>
  <r>
    <x v="279"/>
    <x v="2"/>
    <s v="Iļķēns"/>
    <x v="129"/>
    <s v="V-sports"/>
    <s v="1:42:57"/>
    <x v="66"/>
  </r>
  <r>
    <x v="280"/>
    <x v="3"/>
    <s v="Imune"/>
    <x v="38"/>
    <s v="Hansabanka"/>
    <s v="1:08:46"/>
    <x v="20"/>
  </r>
  <r>
    <x v="281"/>
    <x v="3"/>
    <s v="Ince"/>
    <x v="0"/>
    <s v="Arkādija"/>
    <s v="1:10:43"/>
    <x v="169"/>
  </r>
  <r>
    <x v="282"/>
    <x v="2"/>
    <s v="Indrāns"/>
    <x v="3"/>
    <s v="V-sports"/>
    <s v="1:40:49"/>
    <x v="134"/>
  </r>
  <r>
    <x v="119"/>
    <x v="1"/>
    <s v="Inka"/>
    <x v="82"/>
    <s v="Tinis"/>
    <s v="1:08:33"/>
    <x v="31"/>
  </r>
  <r>
    <x v="283"/>
    <x v="2"/>
    <s v="Irklis"/>
    <x v="126"/>
    <s v="Selonija"/>
    <s v="1:08:05"/>
    <x v="54"/>
  </r>
  <r>
    <x v="284"/>
    <x v="3"/>
    <s v="Istjagina"/>
    <x v="203"/>
    <s v="Karlos K"/>
    <s v="1:16:48"/>
    <x v="14"/>
  </r>
  <r>
    <x v="285"/>
    <x v="2"/>
    <s v="Istjagins"/>
    <x v="204"/>
    <s v="Karlos K"/>
    <s v="1:25:58"/>
    <x v="112"/>
  </r>
  <r>
    <x v="164"/>
    <x v="2"/>
    <s v="Ivanovs"/>
    <x v="158"/>
    <s v=""/>
    <s v="1:04:04"/>
    <x v="184"/>
  </r>
  <r>
    <x v="286"/>
    <x v="3"/>
    <s v="Ivanovska"/>
    <x v="205"/>
    <s v=""/>
    <s v="1:29:11"/>
    <x v="70"/>
  </r>
  <r>
    <x v="287"/>
    <x v="2"/>
    <s v="Jākabsons"/>
    <x v="65"/>
    <s v="Rauna"/>
    <s v="1:13:16"/>
    <x v="93"/>
  </r>
  <r>
    <x v="288"/>
    <x v="2"/>
    <s v="Jākabsons"/>
    <x v="28"/>
    <s v=""/>
    <s v="1:41:40"/>
    <x v="52"/>
  </r>
  <r>
    <x v="182"/>
    <x v="1"/>
    <s v="Jakovels"/>
    <x v="67"/>
    <s v="NN-Marss"/>
    <s v="0:59:10"/>
    <x v="185"/>
  </r>
  <r>
    <x v="289"/>
    <x v="3"/>
    <s v="Jakovļeva"/>
    <x v="206"/>
    <s v="Cēsis Reiņa trase"/>
    <s v="1:13:44"/>
    <x v="45"/>
  </r>
  <r>
    <x v="9"/>
    <x v="15"/>
    <s v="Jakovļevs"/>
    <x v="96"/>
    <s v="Bosch"/>
    <s v="1:19:29"/>
    <x v="98"/>
  </r>
  <r>
    <x v="9"/>
    <x v="5"/>
    <s v="Jakovļevs"/>
    <x v="158"/>
    <s v="Bosch"/>
    <s v="1:21:42"/>
    <x v="85"/>
  </r>
  <r>
    <x v="290"/>
    <x v="3"/>
    <s v="Jakubovska"/>
    <x v="207"/>
    <s v="ZZK"/>
    <s v="1:22:52"/>
    <x v="143"/>
  </r>
  <r>
    <x v="291"/>
    <x v="2"/>
    <s v="Jakubovskis"/>
    <x v="208"/>
    <s v="ZZK"/>
    <s v="1:16:45"/>
    <x v="14"/>
  </r>
  <r>
    <x v="292"/>
    <x v="3"/>
    <s v="Jankova"/>
    <x v="209"/>
    <s v="Liepāja"/>
    <s v="1:40:44"/>
    <x v="134"/>
  </r>
  <r>
    <x v="293"/>
    <x v="12"/>
    <s v="Jankovs"/>
    <x v="210"/>
    <s v="Liepāja"/>
    <s v="1:42:47"/>
    <x v="186"/>
  </r>
  <r>
    <x v="294"/>
    <x v="2"/>
    <s v="Jankovskis"/>
    <x v="6"/>
    <s v="Hansabanka"/>
    <s v="1:19:06"/>
    <x v="107"/>
  </r>
  <r>
    <x v="158"/>
    <x v="0"/>
    <s v="Janova"/>
    <x v="144"/>
    <s v="Iekšciems"/>
    <s v="1:51:39"/>
    <x v="144"/>
  </r>
  <r>
    <x v="295"/>
    <x v="3"/>
    <s v="Janoviča"/>
    <x v="211"/>
    <s v="ZZK"/>
    <s v="1:26:33"/>
    <x v="42"/>
  </r>
  <r>
    <x v="89"/>
    <x v="3"/>
    <s v="Jansone"/>
    <x v="109"/>
    <s v="Gulbene"/>
    <s v="1:30:44"/>
    <x v="34"/>
  </r>
  <r>
    <x v="118"/>
    <x v="16"/>
    <s v="Jansone"/>
    <x v="212"/>
    <s v="Priekuļi"/>
    <s v="1:57:26"/>
    <x v="187"/>
  </r>
  <r>
    <x v="16"/>
    <x v="2"/>
    <s v="Jansons"/>
    <x v="174"/>
    <s v="Rīga"/>
    <s v="2:06:43"/>
    <x v="38"/>
  </r>
  <r>
    <x v="16"/>
    <x v="2"/>
    <s v="Jansons"/>
    <x v="58"/>
    <s v="Mārupe"/>
    <s v="2:05:45"/>
    <x v="188"/>
  </r>
  <r>
    <x v="16"/>
    <x v="2"/>
    <s v="Jansons"/>
    <x v="174"/>
    <s v="Mārupe"/>
    <s v="2:05:50"/>
    <x v="188"/>
  </r>
  <r>
    <x v="16"/>
    <x v="2"/>
    <s v="Jansons"/>
    <x v="52"/>
    <s v="BRT"/>
    <s v="1:36:15"/>
    <x v="59"/>
  </r>
  <r>
    <x v="92"/>
    <x v="5"/>
    <s v="Jansons"/>
    <x v="213"/>
    <s v="Priekuļi"/>
    <s v="1:15:05"/>
    <x v="96"/>
  </r>
  <r>
    <x v="141"/>
    <x v="1"/>
    <s v="Jansons"/>
    <x v="22"/>
    <s v=""/>
    <s v="1:14:53"/>
    <x v="49"/>
  </r>
  <r>
    <x v="159"/>
    <x v="4"/>
    <s v="Jansons"/>
    <x v="11"/>
    <s v="Priekuļi"/>
    <s v="1:14:31"/>
    <x v="55"/>
  </r>
  <r>
    <x v="76"/>
    <x v="4"/>
    <s v="Jansons"/>
    <x v="24"/>
    <s v="Gulbene"/>
    <s v="1:19:21"/>
    <x v="157"/>
  </r>
  <r>
    <x v="296"/>
    <x v="2"/>
    <s v="Jansons"/>
    <x v="105"/>
    <s v=""/>
    <s v="1:02:04"/>
    <x v="6"/>
  </r>
  <r>
    <x v="297"/>
    <x v="3"/>
    <s v="Jantone"/>
    <x v="214"/>
    <s v=""/>
    <s v="1:31:14"/>
    <x v="110"/>
  </r>
  <r>
    <x v="298"/>
    <x v="3"/>
    <s v="Jasinkeviča"/>
    <x v="215"/>
    <s v=""/>
    <s v="1:48:51"/>
    <x v="23"/>
  </r>
  <r>
    <x v="299"/>
    <x v="3"/>
    <s v="Jasinkēviča"/>
    <x v="212"/>
    <s v=""/>
    <s v="2:22:43"/>
    <x v="189"/>
  </r>
  <r>
    <x v="300"/>
    <x v="2"/>
    <s v="Jasinkevičs"/>
    <x v="44"/>
    <s v=""/>
    <s v="1:18:55"/>
    <x v="79"/>
  </r>
  <r>
    <x v="94"/>
    <x v="4"/>
    <s v="Jaunītis"/>
    <x v="156"/>
    <s v="Rietumu banka"/>
    <s v="1:19:53"/>
    <x v="26"/>
  </r>
  <r>
    <x v="94"/>
    <x v="5"/>
    <s v="Jaunītis"/>
    <x v="131"/>
    <s v="Rietumu banka"/>
    <s v="1:15:22"/>
    <x v="93"/>
  </r>
  <r>
    <x v="65"/>
    <x v="2"/>
    <s v="Jauntēvs"/>
    <x v="23"/>
    <s v="Rīga"/>
    <s v="1:15:17"/>
    <x v="71"/>
  </r>
  <r>
    <x v="301"/>
    <x v="3"/>
    <s v="Jaunzeme"/>
    <x v="77"/>
    <s v="&quot;Projekts Pēdas&quot;"/>
    <s v="1:28:21"/>
    <x v="87"/>
  </r>
  <r>
    <x v="302"/>
    <x v="2"/>
    <s v="Jēgers"/>
    <x v="22"/>
    <s v="Tukums"/>
    <s v="1:13:27"/>
    <x v="17"/>
  </r>
  <r>
    <x v="303"/>
    <x v="12"/>
    <s v="Jegorenko"/>
    <x v="216"/>
    <s v="Daugavpils"/>
    <s v="1:40:07"/>
    <x v="190"/>
  </r>
  <r>
    <x v="304"/>
    <x v="3"/>
    <s v="Jēkabsone"/>
    <x v="109"/>
    <s v="&quot;Projekts Pēdas&quot;"/>
    <s v="1:29:20"/>
    <x v="70"/>
  </r>
  <r>
    <x v="305"/>
    <x v="3"/>
    <s v="Jēkabsone"/>
    <x v="0"/>
    <s v="&quot;Projekts Pēdas&quot;"/>
    <s v="1:39:23"/>
    <x v="16"/>
  </r>
  <r>
    <x v="193"/>
    <x v="4"/>
    <s v="Jēkabsons"/>
    <x v="217"/>
    <s v="Focus"/>
    <s v="1:19:06"/>
    <x v="14"/>
  </r>
  <r>
    <x v="193"/>
    <x v="5"/>
    <s v="Jēkabsons"/>
    <x v="6"/>
    <s v="Focus"/>
    <s v="1:24:57"/>
    <x v="3"/>
  </r>
  <r>
    <x v="306"/>
    <x v="2"/>
    <s v="Jekševics"/>
    <x v="218"/>
    <s v="&quot;Projekts Pēdas&quot;"/>
    <s v="1:05:56"/>
    <x v="56"/>
  </r>
  <r>
    <x v="307"/>
    <x v="2"/>
    <s v="Jelisejevs"/>
    <x v="10"/>
    <s v="augavpils"/>
    <s v="1:02:59"/>
    <x v="2"/>
  </r>
  <r>
    <x v="308"/>
    <x v="2"/>
    <s v="Jerjomenko"/>
    <x v="219"/>
    <s v=""/>
    <s v="1:20:51"/>
    <x v="4"/>
  </r>
  <r>
    <x v="198"/>
    <x v="2"/>
    <s v="Jevsevjevs"/>
    <x v="33"/>
    <s v="Elkor Sport Author"/>
    <s v="1:32:33"/>
    <x v="5"/>
  </r>
  <r>
    <x v="139"/>
    <x v="14"/>
    <s v="Jonaitis"/>
    <x v="10"/>
    <s v="Latvello"/>
    <s v="1:20:50"/>
    <x v="46"/>
  </r>
  <r>
    <x v="97"/>
    <x v="1"/>
    <s v="Jonass"/>
    <x v="13"/>
    <s v=""/>
    <s v="1:08:48"/>
    <x v="182"/>
  </r>
  <r>
    <x v="309"/>
    <x v="2"/>
    <s v="Jonāts"/>
    <x v="22"/>
    <s v="Reir"/>
    <s v="1:15:54"/>
    <x v="74"/>
  </r>
  <r>
    <x v="117"/>
    <x v="1"/>
    <s v="Joņkus"/>
    <x v="61"/>
    <s v="Veloserviss"/>
    <s v="1:15:29"/>
    <x v="93"/>
  </r>
  <r>
    <x v="139"/>
    <x v="5"/>
    <s v="Jurgels"/>
    <x v="88"/>
    <s v="Capusta Club"/>
    <s v="1:31:03"/>
    <x v="87"/>
  </r>
  <r>
    <x v="93"/>
    <x v="1"/>
    <s v="Jurgels"/>
    <x v="92"/>
    <s v=""/>
    <s v="1:42:22"/>
    <x v="16"/>
  </r>
  <r>
    <x v="310"/>
    <x v="12"/>
    <s v="Jurģelis"/>
    <x v="28"/>
    <s v="Otrā elpa"/>
    <s v="2:11:19"/>
    <x v="44"/>
  </r>
  <r>
    <x v="311"/>
    <x v="2"/>
    <s v="Jurisons"/>
    <x v="32"/>
    <s v="&quot;Projekts Pēdas&quot;"/>
    <s v="1:36:40"/>
    <x v="154"/>
  </r>
  <r>
    <x v="312"/>
    <x v="3"/>
    <s v="Jurševska"/>
    <x v="220"/>
    <s v="Hawaii Express"/>
    <s v="1:39:12"/>
    <x v="16"/>
  </r>
  <r>
    <x v="245"/>
    <x v="2"/>
    <s v="Jurševskis"/>
    <x v="146"/>
    <s v="Hawaii Express"/>
    <s v="1:40:05"/>
    <x v="10"/>
  </r>
  <r>
    <x v="313"/>
    <x v="2"/>
    <s v="Jurševskis"/>
    <x v="82"/>
    <s v="Hawaii Express"/>
    <s v="1:39:48"/>
    <x v="11"/>
  </r>
  <r>
    <x v="226"/>
    <x v="5"/>
    <s v="Kairišs"/>
    <x v="6"/>
    <s v="Balvi"/>
    <s v="1:08:53"/>
    <x v="182"/>
  </r>
  <r>
    <x v="314"/>
    <x v="12"/>
    <s v="Kalašņikovs"/>
    <x v="60"/>
    <s v="Daugavpils"/>
    <s v="1:46:05"/>
    <x v="191"/>
  </r>
  <r>
    <x v="315"/>
    <x v="2"/>
    <s v="Kalējs"/>
    <x v="28"/>
    <s v="Cēsis"/>
    <s v="0:57:43"/>
    <x v="139"/>
  </r>
  <r>
    <x v="316"/>
    <x v="2"/>
    <s v="Kalējs"/>
    <x v="19"/>
    <s v=""/>
    <s v="1:05:26"/>
    <x v="97"/>
  </r>
  <r>
    <x v="317"/>
    <x v="3"/>
    <s v="Kaliksone"/>
    <x v="221"/>
    <s v=""/>
    <s v="1:22:51"/>
    <x v="143"/>
  </r>
  <r>
    <x v="318"/>
    <x v="2"/>
    <s v="Kaliksons"/>
    <x v="67"/>
    <s v=""/>
    <s v="1:23:49"/>
    <x v="88"/>
  </r>
  <r>
    <x v="319"/>
    <x v="2"/>
    <s v="Kaliksons"/>
    <x v="222"/>
    <s v=""/>
    <s v="1:17:03"/>
    <x v="157"/>
  </r>
  <r>
    <x v="320"/>
    <x v="2"/>
    <s v="Kalinka"/>
    <x v="223"/>
    <s v=""/>
    <s v="1:13:24"/>
    <x v="93"/>
  </r>
  <r>
    <x v="321"/>
    <x v="2"/>
    <s v="Kālis"/>
    <x v="224"/>
    <s v=""/>
    <s v="1:24:48"/>
    <x v="179"/>
  </r>
  <r>
    <x v="21"/>
    <x v="3"/>
    <s v="Kalniņa"/>
    <x v="215"/>
    <s v="Krimuldas vsk."/>
    <s v="1:35:29"/>
    <x v="30"/>
  </r>
  <r>
    <x v="118"/>
    <x v="0"/>
    <s v="Kalniņa"/>
    <x v="225"/>
    <s v="Sigulda"/>
    <s v="1:49:05"/>
    <x v="121"/>
  </r>
  <r>
    <x v="119"/>
    <x v="16"/>
    <s v="Kalniņa"/>
    <x v="226"/>
    <s v="Sigulda"/>
    <s v="1:25:18"/>
    <x v="143"/>
  </r>
  <r>
    <x v="322"/>
    <x v="3"/>
    <s v="Kalniņa"/>
    <x v="34"/>
    <s v="Baltika"/>
    <s v="1:17:20"/>
    <x v="98"/>
  </r>
  <r>
    <x v="323"/>
    <x v="3"/>
    <s v="Kalniņa"/>
    <x v="41"/>
    <s v=""/>
    <s v="1:34:12"/>
    <x v="99"/>
  </r>
  <r>
    <x v="324"/>
    <x v="3"/>
    <s v="Kalniņa"/>
    <x v="227"/>
    <s v=""/>
    <s v="1:26:58"/>
    <x v="192"/>
  </r>
  <r>
    <x v="11"/>
    <x v="2"/>
    <s v="Kalniņš"/>
    <x v="228"/>
    <s v=""/>
    <s v="1:18:50"/>
    <x v="79"/>
  </r>
  <r>
    <x v="197"/>
    <x v="2"/>
    <s v="Kalniņš"/>
    <x v="99"/>
    <s v="Rīga"/>
    <s v="1:41:41"/>
    <x v="52"/>
  </r>
  <r>
    <x v="21"/>
    <x v="2"/>
    <s v="Kalniņš"/>
    <x v="6"/>
    <s v="Krimuldas vsk."/>
    <s v="1:30:51"/>
    <x v="34"/>
  </r>
  <r>
    <x v="132"/>
    <x v="2"/>
    <s v="Kalniņš"/>
    <x v="67"/>
    <s v="Halis"/>
    <s v="0:57:35"/>
    <x v="21"/>
  </r>
  <r>
    <x v="12"/>
    <x v="2"/>
    <s v="Kalniņš"/>
    <x v="146"/>
    <s v=""/>
    <s v="1:03:39"/>
    <x v="9"/>
  </r>
  <r>
    <x v="13"/>
    <x v="5"/>
    <s v="Kalniņš"/>
    <x v="61"/>
    <s v="Cēsis 800 - Cēsu alus"/>
    <s v="1:01:12"/>
    <x v="193"/>
  </r>
  <r>
    <x v="325"/>
    <x v="2"/>
    <s v="Kalniņš"/>
    <x v="49"/>
    <s v="Karlos K"/>
    <s v="1:14:19"/>
    <x v="111"/>
  </r>
  <r>
    <x v="326"/>
    <x v="2"/>
    <s v="Kalniņš"/>
    <x v="50"/>
    <s v=""/>
    <s v="1:13:16"/>
    <x v="93"/>
  </r>
  <r>
    <x v="327"/>
    <x v="2"/>
    <s v="Kalniņš"/>
    <x v="35"/>
    <s v=""/>
    <s v="1:25:11"/>
    <x v="130"/>
  </r>
  <r>
    <x v="328"/>
    <x v="2"/>
    <s v="Kalniņš"/>
    <x v="229"/>
    <s v=""/>
    <s v="1:09:35"/>
    <x v="194"/>
  </r>
  <r>
    <x v="329"/>
    <x v="2"/>
    <s v="Kalniņš"/>
    <x v="92"/>
    <s v=""/>
    <s v="1:04:59"/>
    <x v="155"/>
  </r>
  <r>
    <x v="330"/>
    <x v="2"/>
    <s v="Kalniņš"/>
    <x v="97"/>
    <s v=""/>
    <s v="1:20:18"/>
    <x v="195"/>
  </r>
  <r>
    <x v="331"/>
    <x v="2"/>
    <s v="Kalniņš"/>
    <x v="230"/>
    <s v=""/>
    <s v="1:29:18"/>
    <x v="70"/>
  </r>
  <r>
    <x v="170"/>
    <x v="1"/>
    <s v="Kalnups"/>
    <x v="28"/>
    <s v="SK Bebra"/>
    <s v="1:12:57"/>
    <x v="169"/>
  </r>
  <r>
    <x v="332"/>
    <x v="2"/>
    <s v="Kalnups"/>
    <x v="92"/>
    <s v=""/>
    <s v="1:11:07"/>
    <x v="123"/>
  </r>
  <r>
    <x v="333"/>
    <x v="2"/>
    <s v="Kalve"/>
    <x v="22"/>
    <s v=""/>
    <s v="1:09:38"/>
    <x v="194"/>
  </r>
  <r>
    <x v="334"/>
    <x v="3"/>
    <s v="Kalve"/>
    <x v="36"/>
    <s v=""/>
    <s v="1:31:57"/>
    <x v="145"/>
  </r>
  <r>
    <x v="335"/>
    <x v="3"/>
    <s v="Kalverša"/>
    <x v="87"/>
    <s v="Salaspils Zīriņi"/>
    <s v="1:24:59"/>
    <x v="179"/>
  </r>
  <r>
    <x v="336"/>
    <x v="3"/>
    <s v="Kalverša"/>
    <x v="134"/>
    <s v="Salaspils Zīriņi"/>
    <s v="1:33:23"/>
    <x v="173"/>
  </r>
  <r>
    <x v="337"/>
    <x v="2"/>
    <s v="Kalveršs"/>
    <x v="22"/>
    <s v="Salaspils Zīriņi"/>
    <s v="1:24:58"/>
    <x v="179"/>
  </r>
  <r>
    <x v="29"/>
    <x v="2"/>
    <s v="Kalvišķis"/>
    <x v="74"/>
    <s v=""/>
    <s v="1:22:24"/>
    <x v="3"/>
  </r>
  <r>
    <x v="338"/>
    <x v="3"/>
    <s v="Kampuse"/>
    <x v="87"/>
    <s v="Mazsalaca"/>
    <s v="1:25:50"/>
    <x v="112"/>
  </r>
  <r>
    <x v="339"/>
    <x v="2"/>
    <s v="Kampuss"/>
    <x v="231"/>
    <s v="Mazsalaca"/>
    <s v="1:15:08"/>
    <x v="94"/>
  </r>
  <r>
    <x v="89"/>
    <x v="2"/>
    <s v="Kanaviņš"/>
    <x v="232"/>
    <s v="Rīga"/>
    <s v="1:28:33"/>
    <x v="87"/>
  </r>
  <r>
    <x v="120"/>
    <x v="5"/>
    <s v="Kanaviņš"/>
    <x v="65"/>
    <s v=""/>
    <s v="1:18:28"/>
    <x v="196"/>
  </r>
  <r>
    <x v="91"/>
    <x v="1"/>
    <s v="Kandelis"/>
    <x v="7"/>
    <s v=""/>
    <s v="1:20:51"/>
    <x v="46"/>
  </r>
  <r>
    <x v="170"/>
    <x v="1"/>
    <s v="Kapitonovs"/>
    <x v="2"/>
    <s v="Hipotēku Banka"/>
    <s v="1:17:36"/>
    <x v="71"/>
  </r>
  <r>
    <x v="164"/>
    <x v="13"/>
    <s v="Kārkliņš"/>
    <x v="179"/>
    <s v="Kuldīgas sporta"/>
    <s v="1:11:41"/>
    <x v="194"/>
  </r>
  <r>
    <x v="340"/>
    <x v="2"/>
    <s v="Kārkliņš"/>
    <x v="19"/>
    <s v="Kuldīga"/>
    <s v="1:12:31"/>
    <x v="55"/>
  </r>
  <r>
    <x v="207"/>
    <x v="13"/>
    <s v="Karpinskis"/>
    <x v="9"/>
    <s v="Spars"/>
    <s v="1:33:17"/>
    <x v="34"/>
  </r>
  <r>
    <x v="341"/>
    <x v="2"/>
    <s v="Kāršenieks"/>
    <x v="35"/>
    <s v="Viesnīca Santa"/>
    <s v="1:16:33"/>
    <x v="151"/>
  </r>
  <r>
    <x v="342"/>
    <x v="3"/>
    <s v="Kāršniece"/>
    <x v="233"/>
    <s v="Viesnīca Santa"/>
    <s v="2:10:45"/>
    <x v="197"/>
  </r>
  <r>
    <x v="343"/>
    <x v="2"/>
    <s v="Kasparsons"/>
    <x v="44"/>
    <s v="Kwintet"/>
    <s v="1:10:38"/>
    <x v="198"/>
  </r>
  <r>
    <x v="57"/>
    <x v="2"/>
    <s v="Kaupe"/>
    <x v="19"/>
    <s v="Frukava"/>
    <s v="0:56:57"/>
    <x v="180"/>
  </r>
  <r>
    <x v="344"/>
    <x v="2"/>
    <s v="Kaupe"/>
    <x v="9"/>
    <s v="Frukava"/>
    <s v="1:16:40"/>
    <x v="14"/>
  </r>
  <r>
    <x v="345"/>
    <x v="2"/>
    <s v="Kazainis"/>
    <x v="19"/>
    <s v="Cēsis"/>
    <s v="1:28:06"/>
    <x v="62"/>
  </r>
  <r>
    <x v="88"/>
    <x v="1"/>
    <s v="Každaļevič"/>
    <x v="234"/>
    <s v="JV 11"/>
    <s v="1:18:16"/>
    <x v="196"/>
  </r>
  <r>
    <x v="346"/>
    <x v="3"/>
    <s v="Keiša"/>
    <x v="235"/>
    <s v="&quot;Projekts Pē"/>
    <s v="1:46:39"/>
    <x v="109"/>
  </r>
  <r>
    <x v="347"/>
    <x v="2"/>
    <s v="Kikusts"/>
    <x v="19"/>
    <s v="Auteko"/>
    <s v="1:20:13"/>
    <x v="195"/>
  </r>
  <r>
    <x v="348"/>
    <x v="2"/>
    <s v="Kipurs"/>
    <x v="236"/>
    <s v=""/>
    <s v="1:05:35"/>
    <x v="97"/>
  </r>
  <r>
    <x v="349"/>
    <x v="2"/>
    <s v="Kipurs"/>
    <x v="44"/>
    <s v=""/>
    <s v="0:57:29"/>
    <x v="185"/>
  </r>
  <r>
    <x v="350"/>
    <x v="2"/>
    <s v="Kipurs"/>
    <x v="78"/>
    <s v=""/>
    <s v="1:01:12"/>
    <x v="199"/>
  </r>
  <r>
    <x v="351"/>
    <x v="2"/>
    <s v="Kipurs"/>
    <x v="156"/>
    <s v=""/>
    <s v="0:58:04"/>
    <x v="81"/>
  </r>
  <r>
    <x v="352"/>
    <x v="3"/>
    <s v="Klefelde"/>
    <x v="237"/>
    <s v="NCC Konstrukcijas"/>
    <s v="1:37:09"/>
    <x v="60"/>
  </r>
  <r>
    <x v="353"/>
    <x v="2"/>
    <s v="Klefelde"/>
    <x v="44"/>
    <s v="NCC Konstrukcijas"/>
    <s v="1:16:52"/>
    <x v="14"/>
  </r>
  <r>
    <x v="76"/>
    <x v="16"/>
    <s v="Kleinberga"/>
    <x v="117"/>
    <s v="Trek Philips"/>
    <s v="1:57:54"/>
    <x v="187"/>
  </r>
  <r>
    <x v="76"/>
    <x v="5"/>
    <s v="Kleinbergs"/>
    <x v="131"/>
    <s v="Trek Philips"/>
    <s v="1:12:43"/>
    <x v="198"/>
  </r>
  <r>
    <x v="354"/>
    <x v="6"/>
    <s v="Kleinbergs"/>
    <x v="19"/>
    <s v="X sports Corrate"/>
    <s v="1:04:06"/>
    <x v="120"/>
  </r>
  <r>
    <x v="94"/>
    <x v="1"/>
    <s v="Klepers"/>
    <x v="15"/>
    <s v="Ģeogrāfi"/>
    <s v="1:24:02"/>
    <x v="95"/>
  </r>
  <r>
    <x v="355"/>
    <x v="2"/>
    <s v="Klēvers"/>
    <x v="61"/>
    <s v="Grifs AG"/>
    <s v="1:36:10"/>
    <x v="59"/>
  </r>
  <r>
    <x v="356"/>
    <x v="2"/>
    <s v="Klucis"/>
    <x v="88"/>
    <s v="Rīga"/>
    <s v="1:19:08"/>
    <x v="107"/>
  </r>
  <r>
    <x v="21"/>
    <x v="2"/>
    <s v="Kļaviņš"/>
    <x v="238"/>
    <s v="Gandrs-Viss"/>
    <s v="1:17:00"/>
    <x v="157"/>
  </r>
  <r>
    <x v="74"/>
    <x v="2"/>
    <s v="Kļaviņš"/>
    <x v="239"/>
    <s v="Gandrs"/>
    <s v="1:31:40"/>
    <x v="124"/>
  </r>
  <r>
    <x v="118"/>
    <x v="6"/>
    <s v="Kļaviņš"/>
    <x v="15"/>
    <s v=""/>
    <s v="2:09:43"/>
    <x v="188"/>
  </r>
  <r>
    <x v="173"/>
    <x v="1"/>
    <s v="Kļaviņš"/>
    <x v="40"/>
    <s v=""/>
    <s v="1:08:52"/>
    <x v="182"/>
  </r>
  <r>
    <x v="170"/>
    <x v="1"/>
    <s v="Kļaviņš"/>
    <x v="92"/>
    <s v="xc.lv"/>
    <s v="1:14:57"/>
    <x v="49"/>
  </r>
  <r>
    <x v="170"/>
    <x v="6"/>
    <s v="Kļaviņš"/>
    <x v="88"/>
    <s v="Salaspils Zīriņi"/>
    <s v="1:22:51"/>
    <x v="51"/>
  </r>
  <r>
    <x v="357"/>
    <x v="2"/>
    <s v="Kļaviņš"/>
    <x v="35"/>
    <s v=""/>
    <s v="0:57:17"/>
    <x v="200"/>
  </r>
  <r>
    <x v="358"/>
    <x v="2"/>
    <s v="Kļaviņš"/>
    <x v="240"/>
    <s v=""/>
    <s v="1:20:59"/>
    <x v="4"/>
  </r>
  <r>
    <x v="359"/>
    <x v="2"/>
    <s v="Kļavnieks"/>
    <x v="199"/>
    <s v=""/>
    <s v="1:19:35"/>
    <x v="73"/>
  </r>
  <r>
    <x v="24"/>
    <x v="1"/>
    <s v="Kļukins"/>
    <x v="10"/>
    <s v="JV11"/>
    <s v="1:16:11"/>
    <x v="152"/>
  </r>
  <r>
    <x v="106"/>
    <x v="1"/>
    <s v="Knēža"/>
    <x v="5"/>
    <s v=""/>
    <s v="1:09:01"/>
    <x v="131"/>
  </r>
  <r>
    <x v="360"/>
    <x v="7"/>
    <s v="Knope"/>
    <x v="97"/>
    <s v="Valka"/>
    <s v="1:54:47"/>
    <x v="201"/>
  </r>
  <r>
    <x v="93"/>
    <x v="16"/>
    <s v="Kokare"/>
    <x v="241"/>
    <s v=""/>
    <s v="1:43:34"/>
    <x v="134"/>
  </r>
  <r>
    <x v="59"/>
    <x v="6"/>
    <s v="Kokars"/>
    <x v="158"/>
    <s v=""/>
    <s v="1:21:18"/>
    <x v="107"/>
  </r>
  <r>
    <x v="13"/>
    <x v="4"/>
    <s v="Kokts"/>
    <x v="15"/>
    <s v="Ulbroka"/>
    <s v="1:41:57"/>
    <x v="16"/>
  </r>
  <r>
    <x v="13"/>
    <x v="1"/>
    <s v="Kokts"/>
    <x v="35"/>
    <s v="Ulbroka"/>
    <s v="1:32:11"/>
    <x v="76"/>
  </r>
  <r>
    <x v="361"/>
    <x v="2"/>
    <s v="Kolovza"/>
    <x v="114"/>
    <s v=""/>
    <s v="1:10:50"/>
    <x v="169"/>
  </r>
  <r>
    <x v="362"/>
    <x v="2"/>
    <s v="Koļagins"/>
    <x v="242"/>
    <s v=""/>
    <s v="1:03:45"/>
    <x v="9"/>
  </r>
  <r>
    <x v="363"/>
    <x v="2"/>
    <s v="Komovs"/>
    <x v="103"/>
    <s v="Veloserviss"/>
    <s v="2:28:40"/>
    <x v="202"/>
  </r>
  <r>
    <x v="364"/>
    <x v="2"/>
    <s v="Kondrāds"/>
    <x v="78"/>
    <s v="&quot;Projekts Pēdas&quot;"/>
    <s v="1:13:36"/>
    <x v="17"/>
  </r>
  <r>
    <x v="365"/>
    <x v="2"/>
    <s v="Kondratjevs"/>
    <x v="9"/>
    <s v="VIC velokurjers"/>
    <s v="1:09:35"/>
    <x v="194"/>
  </r>
  <r>
    <x v="366"/>
    <x v="2"/>
    <s v="Kononovič"/>
    <x v="243"/>
    <s v="Elkor sports-author"/>
    <s v="1:00:28"/>
    <x v="203"/>
  </r>
  <r>
    <x v="367"/>
    <x v="2"/>
    <s v="Kononovs"/>
    <x v="137"/>
    <s v="Veloserviss"/>
    <s v="1:22:38"/>
    <x v="3"/>
  </r>
  <r>
    <x v="368"/>
    <x v="3"/>
    <s v="Konrāde"/>
    <x v="244"/>
    <s v="&quot;Projekts Pēdas&quot;"/>
    <s v="1:46:42"/>
    <x v="109"/>
  </r>
  <r>
    <x v="193"/>
    <x v="1"/>
    <s v="Konunovs"/>
    <x v="19"/>
    <s v=""/>
    <s v="2:00:43"/>
    <x v="141"/>
  </r>
  <r>
    <x v="369"/>
    <x v="3"/>
    <s v="Korņējeva"/>
    <x v="245"/>
    <s v="Ģimenīte &quot;Pipariņi&quot;"/>
    <s v="1:22:51"/>
    <x v="143"/>
  </r>
  <r>
    <x v="370"/>
    <x v="2"/>
    <s v="Korņējevs"/>
    <x v="14"/>
    <s v="Balta"/>
    <s v="0:59:07"/>
    <x v="204"/>
  </r>
  <r>
    <x v="371"/>
    <x v="9"/>
    <s v="Korņilovs"/>
    <x v="191"/>
    <s v="Zumus"/>
    <s v="1:39:05"/>
    <x v="48"/>
  </r>
  <r>
    <x v="372"/>
    <x v="2"/>
    <s v="Korotkovs"/>
    <x v="246"/>
    <s v="NCC Konstrukcijas"/>
    <s v="1:13:44"/>
    <x v="45"/>
  </r>
  <r>
    <x v="118"/>
    <x v="1"/>
    <s v="Kosarevs"/>
    <x v="10"/>
    <s v="Rīgas Dome"/>
    <s v="1:58:23"/>
    <x v="50"/>
  </r>
  <r>
    <x v="117"/>
    <x v="0"/>
    <s v="Kovalevska"/>
    <x v="247"/>
    <s v="Ogre"/>
    <s v="2:09:48"/>
    <x v="188"/>
  </r>
  <r>
    <x v="373"/>
    <x v="2"/>
    <s v="Kovals"/>
    <x v="19"/>
    <s v="Veloserviss"/>
    <s v="1:19:32"/>
    <x v="85"/>
  </r>
  <r>
    <x v="374"/>
    <x v="2"/>
    <s v="Kovaļenko"/>
    <x v="6"/>
    <s v="Karlos K"/>
    <s v="1:25:23"/>
    <x v="58"/>
  </r>
  <r>
    <x v="184"/>
    <x v="0"/>
    <s v="Kovšele"/>
    <x v="41"/>
    <s v="Hansabanka"/>
    <s v="2:08:11"/>
    <x v="171"/>
  </r>
  <r>
    <x v="375"/>
    <x v="2"/>
    <s v="Kovtuņenko"/>
    <x v="58"/>
    <s v="Veloserviss"/>
    <s v="2:28:40"/>
    <x v="202"/>
  </r>
  <r>
    <x v="376"/>
    <x v="3"/>
    <s v="Krama"/>
    <x v="124"/>
    <s v="Krimuldas vsk."/>
    <s v="1:26:02"/>
    <x v="112"/>
  </r>
  <r>
    <x v="377"/>
    <x v="2"/>
    <s v="Krams"/>
    <x v="3"/>
    <s v="Fokus Team"/>
    <s v="1:06:30"/>
    <x v="31"/>
  </r>
  <r>
    <x v="53"/>
    <x v="0"/>
    <s v="Krasta"/>
    <x v="36"/>
    <s v=""/>
    <s v="1:26:33"/>
    <x v="122"/>
  </r>
  <r>
    <x v="378"/>
    <x v="3"/>
    <s v="Krasta"/>
    <x v="36"/>
    <s v=""/>
    <s v="1:44:41"/>
    <x v="27"/>
  </r>
  <r>
    <x v="5"/>
    <x v="2"/>
    <s v="Krastiņš"/>
    <x v="19"/>
    <s v=""/>
    <s v="1:11:04"/>
    <x v="123"/>
  </r>
  <r>
    <x v="379"/>
    <x v="9"/>
    <s v="Krastiņš"/>
    <x v="9"/>
    <s v="Fans Cube Team"/>
    <s v="1:38:58"/>
    <x v="28"/>
  </r>
  <r>
    <x v="38"/>
    <x v="15"/>
    <s v="Krastiņš"/>
    <x v="248"/>
    <s v="Ķekava"/>
    <s v="1:22:20"/>
    <x v="162"/>
  </r>
  <r>
    <x v="354"/>
    <x v="1"/>
    <s v="Krastiņš"/>
    <x v="66"/>
    <s v="Ikšķile"/>
    <s v="1:14:12"/>
    <x v="39"/>
  </r>
  <r>
    <x v="354"/>
    <x v="2"/>
    <s v="Krastiņš"/>
    <x v="17"/>
    <s v=""/>
    <s v="1:01:58"/>
    <x v="6"/>
  </r>
  <r>
    <x v="23"/>
    <x v="5"/>
    <s v="Krasts"/>
    <x v="28"/>
    <s v="Schell Latvia"/>
    <s v="1:11:38"/>
    <x v="194"/>
  </r>
  <r>
    <x v="28"/>
    <x v="2"/>
    <s v="Krasts"/>
    <x v="67"/>
    <s v="Ogre"/>
    <s v="1:01:10"/>
    <x v="199"/>
  </r>
  <r>
    <x v="97"/>
    <x v="1"/>
    <s v="Krauja"/>
    <x v="113"/>
    <s v="Rollerblade champion"/>
    <s v="1:13:24"/>
    <x v="83"/>
  </r>
  <r>
    <x v="136"/>
    <x v="6"/>
    <s v="Krauja"/>
    <x v="15"/>
    <s v="Rollerblade-champion"/>
    <s v="1:26:26"/>
    <x v="122"/>
  </r>
  <r>
    <x v="380"/>
    <x v="3"/>
    <s v="Kraukle"/>
    <x v="36"/>
    <s v=""/>
    <s v="1:31:26"/>
    <x v="124"/>
  </r>
  <r>
    <x v="381"/>
    <x v="3"/>
    <s v="Kravale"/>
    <x v="57"/>
    <s v=""/>
    <s v="1:41:50"/>
    <x v="52"/>
  </r>
  <r>
    <x v="382"/>
    <x v="2"/>
    <s v="Kravalis"/>
    <x v="28"/>
    <s v=""/>
    <s v="1:08:49"/>
    <x v="20"/>
  </r>
  <r>
    <x v="383"/>
    <x v="2"/>
    <s v="Kreicbergs"/>
    <x v="52"/>
    <s v="V-sports"/>
    <s v="1:11:19"/>
    <x v="83"/>
  </r>
  <r>
    <x v="384"/>
    <x v="2"/>
    <s v="Kreiss"/>
    <x v="249"/>
    <s v=""/>
    <s v="1:04:22"/>
    <x v="44"/>
  </r>
  <r>
    <x v="385"/>
    <x v="2"/>
    <s v="Krēsliņš"/>
    <x v="67"/>
    <s v=""/>
    <s v="1:22:19"/>
    <x v="108"/>
  </r>
  <r>
    <x v="386"/>
    <x v="3"/>
    <s v="Krievāne"/>
    <x v="250"/>
    <s v="ZZK"/>
    <s v="1:34:17"/>
    <x v="99"/>
  </r>
  <r>
    <x v="51"/>
    <x v="2"/>
    <s v="Krievkalns"/>
    <x v="251"/>
    <s v="Ropaži"/>
    <s v="1:13:33"/>
    <x v="17"/>
  </r>
  <r>
    <x v="387"/>
    <x v="2"/>
    <s v="Krievs"/>
    <x v="13"/>
    <s v="Veloserviss"/>
    <s v="1:12:46"/>
    <x v="49"/>
  </r>
  <r>
    <x v="388"/>
    <x v="12"/>
    <s v="Kristovskis"/>
    <x v="39"/>
    <s v="Orfo"/>
    <s v="2:17:54"/>
    <x v="41"/>
  </r>
  <r>
    <x v="389"/>
    <x v="3"/>
    <s v="Krogzeme"/>
    <x v="85"/>
    <s v=""/>
    <s v="1:51:46"/>
    <x v="32"/>
  </r>
  <r>
    <x v="245"/>
    <x v="2"/>
    <s v="Krogzems"/>
    <x v="50"/>
    <s v=""/>
    <s v="1:29:47"/>
    <x v="205"/>
  </r>
  <r>
    <x v="89"/>
    <x v="3"/>
    <s v="Krūklīte"/>
    <x v="16"/>
    <s v="Priekuļi"/>
    <s v="1:21:35"/>
    <x v="95"/>
  </r>
  <r>
    <x v="53"/>
    <x v="5"/>
    <s v="Krūklītis"/>
    <x v="22"/>
    <s v="Priekuļi"/>
    <s v="1:34:18"/>
    <x v="124"/>
  </r>
  <r>
    <x v="23"/>
    <x v="0"/>
    <s v="Krūmiņa"/>
    <x v="142"/>
    <s v="3V"/>
    <s v="1:19:47"/>
    <x v="26"/>
  </r>
  <r>
    <x v="85"/>
    <x v="0"/>
    <s v="Krūmiņa"/>
    <x v="252"/>
    <s v="Theparadise.lv"/>
    <s v="1:52:29"/>
    <x v="23"/>
  </r>
  <r>
    <x v="390"/>
    <x v="3"/>
    <s v="Krūmiņa"/>
    <x v="43"/>
    <s v="Tukums"/>
    <s v="1:32:22"/>
    <x v="138"/>
  </r>
  <r>
    <x v="139"/>
    <x v="2"/>
    <s v="Krūmiņliepa"/>
    <x v="15"/>
    <s v="Focus Team"/>
    <s v="1:00:13"/>
    <x v="114"/>
  </r>
  <r>
    <x v="97"/>
    <x v="1"/>
    <s v="Krūmiņš"/>
    <x v="164"/>
    <s v="SK Brīvnieki"/>
    <s v="1:13:28"/>
    <x v="83"/>
  </r>
  <r>
    <x v="80"/>
    <x v="6"/>
    <s v="Krūmiņš"/>
    <x v="253"/>
    <s v="SK Brīvnieki"/>
    <s v="1:27:51"/>
    <x v="58"/>
  </r>
  <r>
    <x v="391"/>
    <x v="2"/>
    <s v="Krūmiņš"/>
    <x v="14"/>
    <s v="SEB Unibanka"/>
    <s v="1:16:37"/>
    <x v="151"/>
  </r>
  <r>
    <x v="392"/>
    <x v="2"/>
    <s v="Krūmiņš"/>
    <x v="40"/>
    <s v="Marss"/>
    <s v="1:03:08"/>
    <x v="102"/>
  </r>
  <r>
    <x v="393"/>
    <x v="2"/>
    <s v="Krustiņš"/>
    <x v="249"/>
    <s v=""/>
    <s v="1:15:54"/>
    <x v="74"/>
  </r>
  <r>
    <x v="1"/>
    <x v="5"/>
    <s v="Kublačovs"/>
    <x v="91"/>
    <s v=""/>
    <s v="1:10:05"/>
    <x v="54"/>
  </r>
  <r>
    <x v="70"/>
    <x v="1"/>
    <s v="Kubliņš"/>
    <x v="40"/>
    <s v=""/>
    <s v="1:23:14"/>
    <x v="4"/>
  </r>
  <r>
    <x v="394"/>
    <x v="4"/>
    <s v="Kudrašs"/>
    <x v="78"/>
    <s v="Rīga"/>
    <s v="1:23:00"/>
    <x v="51"/>
  </r>
  <r>
    <x v="74"/>
    <x v="3"/>
    <s v="Kukaine"/>
    <x v="41"/>
    <s v="Rietumu Banka"/>
    <s v="1:08:13"/>
    <x v="206"/>
  </r>
  <r>
    <x v="224"/>
    <x v="5"/>
    <s v="Kulago"/>
    <x v="103"/>
    <s v="ZZK"/>
    <s v="1:07:09"/>
    <x v="113"/>
  </r>
  <r>
    <x v="173"/>
    <x v="0"/>
    <s v="Kulago"/>
    <x v="132"/>
    <s v="ZZK"/>
    <s v="1:24:04"/>
    <x v="101"/>
  </r>
  <r>
    <x v="395"/>
    <x v="3"/>
    <s v="Kulago"/>
    <x v="202"/>
    <s v="ZZK"/>
    <s v="1:48:45"/>
    <x v="144"/>
  </r>
  <r>
    <x v="85"/>
    <x v="1"/>
    <s v="Kulpe"/>
    <x v="3"/>
    <s v="Hansabanka"/>
    <s v="1:18:46"/>
    <x v="151"/>
  </r>
  <r>
    <x v="23"/>
    <x v="2"/>
    <s v="Kupča"/>
    <x v="254"/>
    <s v="VAB"/>
    <s v="1:00:03"/>
    <x v="207"/>
  </r>
  <r>
    <x v="396"/>
    <x v="7"/>
    <s v="Kupča"/>
    <x v="249"/>
    <s v="Zumus"/>
    <s v="1:39:02"/>
    <x v="28"/>
  </r>
  <r>
    <x v="224"/>
    <x v="1"/>
    <s v="Kupčs"/>
    <x v="52"/>
    <s v="Sigulda"/>
    <s v="1:18:28"/>
    <x v="196"/>
  </r>
  <r>
    <x v="140"/>
    <x v="1"/>
    <s v="Kuplis"/>
    <x v="15"/>
    <s v="3V"/>
    <s v="1:18:37"/>
    <x v="151"/>
  </r>
  <r>
    <x v="119"/>
    <x v="1"/>
    <s v="Kuplis"/>
    <x v="88"/>
    <s v="3V"/>
    <s v="1:26:40"/>
    <x v="122"/>
  </r>
  <r>
    <x v="397"/>
    <x v="8"/>
    <s v="Kuprišs"/>
    <x v="44"/>
    <s v=""/>
    <s v="1:39:28"/>
    <x v="163"/>
  </r>
  <r>
    <x v="141"/>
    <x v="2"/>
    <s v="Kurmeļjevs"/>
    <x v="78"/>
    <s v=""/>
    <s v="0:57:38"/>
    <x v="21"/>
  </r>
  <r>
    <x v="398"/>
    <x v="2"/>
    <s v="Kurmeļjevs"/>
    <x v="15"/>
    <s v=""/>
    <s v="1:20:34"/>
    <x v="51"/>
  </r>
  <r>
    <x v="173"/>
    <x v="0"/>
    <s v="Kursiša"/>
    <x v="235"/>
    <s v=""/>
    <s v="2:07:30"/>
    <x v="18"/>
  </r>
  <r>
    <x v="92"/>
    <x v="1"/>
    <s v="Kursītis"/>
    <x v="157"/>
    <s v="Ozolnieki"/>
    <s v="1:13:25"/>
    <x v="83"/>
  </r>
  <r>
    <x v="399"/>
    <x v="3"/>
    <s v="Kusiņa"/>
    <x v="255"/>
    <s v="NCC Konstrukcijas"/>
    <s v="1:26:35"/>
    <x v="42"/>
  </r>
  <r>
    <x v="146"/>
    <x v="2"/>
    <s v="Kusiņš"/>
    <x v="102"/>
    <s v="Timurs"/>
    <s v="1:33:58"/>
    <x v="161"/>
  </r>
  <r>
    <x v="400"/>
    <x v="3"/>
    <s v="Kušķe"/>
    <x v="256"/>
    <s v="R/a 2 koki u"/>
    <s v="1:32:19"/>
    <x v="138"/>
  </r>
  <r>
    <x v="356"/>
    <x v="3"/>
    <s v="Kvašņova"/>
    <x v="106"/>
    <s v="Ādaži"/>
    <s v="1:36:32"/>
    <x v="154"/>
  </r>
  <r>
    <x v="0"/>
    <x v="1"/>
    <s v="Ķemme"/>
    <x v="52"/>
    <s v=""/>
    <s v="1:52:22"/>
    <x v="23"/>
  </r>
  <r>
    <x v="394"/>
    <x v="13"/>
    <s v="Ķemme"/>
    <x v="78"/>
    <s v="Rīga"/>
    <s v="1:52:21"/>
    <x v="23"/>
  </r>
  <r>
    <x v="136"/>
    <x v="1"/>
    <s v="Ķerpe"/>
    <x v="5"/>
    <s v=""/>
    <s v="1:29:38"/>
    <x v="153"/>
  </r>
  <r>
    <x v="401"/>
    <x v="3"/>
    <s v="Ķiece"/>
    <x v="257"/>
    <s v=""/>
    <s v="1:35:01"/>
    <x v="67"/>
  </r>
  <r>
    <x v="136"/>
    <x v="5"/>
    <s v="Ķiecis"/>
    <x v="258"/>
    <s v=""/>
    <s v="1:30:51"/>
    <x v="87"/>
  </r>
  <r>
    <x v="172"/>
    <x v="1"/>
    <s v="Ķiepe"/>
    <x v="99"/>
    <s v="ZZK"/>
    <s v="1:04:31"/>
    <x v="167"/>
  </r>
  <r>
    <x v="175"/>
    <x v="2"/>
    <s v="Ķikuts"/>
    <x v="19"/>
    <s v=""/>
    <s v="1:08:25"/>
    <x v="29"/>
  </r>
  <r>
    <x v="164"/>
    <x v="5"/>
    <s v="Ķikuts"/>
    <x v="50"/>
    <s v="Bosch"/>
    <s v="1:20:20"/>
    <x v="84"/>
  </r>
  <r>
    <x v="402"/>
    <x v="2"/>
    <s v="Ķipurs"/>
    <x v="19"/>
    <s v="&quot;Projekts Pēdas&quot;"/>
    <s v="1:12:59"/>
    <x v="96"/>
  </r>
  <r>
    <x v="403"/>
    <x v="2"/>
    <s v="Ķirsons"/>
    <x v="97"/>
    <s v=""/>
    <s v="1:20:14"/>
    <x v="195"/>
  </r>
  <r>
    <x v="404"/>
    <x v="3"/>
    <s v="Ķīse"/>
    <x v="259"/>
    <s v=""/>
    <s v="1:12:58"/>
    <x v="96"/>
  </r>
  <r>
    <x v="83"/>
    <x v="2"/>
    <s v="Ķude"/>
    <x v="47"/>
    <s v="Priekuļi"/>
    <s v="1:16:21"/>
    <x v="196"/>
  </r>
  <r>
    <x v="184"/>
    <x v="5"/>
    <s v="Labeckis"/>
    <x v="83"/>
    <s v=""/>
    <s v="1:23:08"/>
    <x v="4"/>
  </r>
  <r>
    <x v="22"/>
    <x v="3"/>
    <s v="Lāce"/>
    <x v="38"/>
    <s v="Lāči"/>
    <s v="1:50:46"/>
    <x v="72"/>
  </r>
  <r>
    <x v="209"/>
    <x v="3"/>
    <s v="Lāce"/>
    <x v="0"/>
    <s v="PRO Kapital Latvia"/>
    <s v="1:13:20"/>
    <x v="93"/>
  </r>
  <r>
    <x v="22"/>
    <x v="2"/>
    <s v="Lācis"/>
    <x v="44"/>
    <s v="Lāči"/>
    <s v="1:14:31"/>
    <x v="12"/>
  </r>
  <r>
    <x v="209"/>
    <x v="2"/>
    <s v="Lācis"/>
    <x v="174"/>
    <s v="PRD Kapital Latvia"/>
    <s v="1:07:33"/>
    <x v="208"/>
  </r>
  <r>
    <x v="209"/>
    <x v="2"/>
    <s v="Lācis"/>
    <x v="216"/>
    <s v="PRD Kapital Latvia"/>
    <s v="1:07:31"/>
    <x v="41"/>
  </r>
  <r>
    <x v="405"/>
    <x v="2"/>
    <s v="Lācis"/>
    <x v="83"/>
    <s v=""/>
    <s v="1:16:01"/>
    <x v="74"/>
  </r>
  <r>
    <x v="140"/>
    <x v="15"/>
    <s v="Lagzdiņš"/>
    <x v="7"/>
    <s v="ZAP"/>
    <s v="1:12:26"/>
    <x v="19"/>
  </r>
  <r>
    <x v="406"/>
    <x v="2"/>
    <s v="Laiva"/>
    <x v="260"/>
    <s v="Viesnīca Santa"/>
    <s v="1:35:08"/>
    <x v="47"/>
  </r>
  <r>
    <x v="407"/>
    <x v="2"/>
    <s v="Laiva"/>
    <x v="260"/>
    <s v="Viesnīca Santa"/>
    <s v="1:32:05"/>
    <x v="145"/>
  </r>
  <r>
    <x v="176"/>
    <x v="2"/>
    <s v="Lamberts"/>
    <x v="175"/>
    <s v="Ķekavas vsk"/>
    <s v="1:22:17"/>
    <x v="108"/>
  </r>
  <r>
    <x v="408"/>
    <x v="3"/>
    <s v="Lanceniece"/>
    <x v="106"/>
    <s v=""/>
    <s v="1:26:19"/>
    <x v="147"/>
  </r>
  <r>
    <x v="100"/>
    <x v="2"/>
    <s v="Lange"/>
    <x v="19"/>
    <s v="Jelgava"/>
    <s v="1:26:05"/>
    <x v="147"/>
  </r>
  <r>
    <x v="409"/>
    <x v="2"/>
    <s v="Lapiņš"/>
    <x v="65"/>
    <s v="Grods"/>
    <s v="1:16:53"/>
    <x v="14"/>
  </r>
  <r>
    <x v="0"/>
    <x v="1"/>
    <s v="Lapsa"/>
    <x v="103"/>
    <s v="3V"/>
    <s v="1:13:29"/>
    <x v="40"/>
  </r>
  <r>
    <x v="410"/>
    <x v="2"/>
    <s v="Lāriņš"/>
    <x v="49"/>
    <s v="Velo-30"/>
    <s v="1:21:45"/>
    <x v="101"/>
  </r>
  <r>
    <x v="411"/>
    <x v="2"/>
    <s v="Lasks"/>
    <x v="1"/>
    <s v=""/>
    <s v="1:06:09"/>
    <x v="209"/>
  </r>
  <r>
    <x v="412"/>
    <x v="2"/>
    <s v="Lauriks m"/>
    <x v="261"/>
    <s v="tb.lv"/>
    <s v="0:57:31"/>
    <x v="185"/>
  </r>
  <r>
    <x v="158"/>
    <x v="1"/>
    <s v="Lavišs"/>
    <x v="10"/>
    <s v="Zumus"/>
    <s v="1:08:43"/>
    <x v="176"/>
  </r>
  <r>
    <x v="132"/>
    <x v="6"/>
    <s v="Lavrinovičs"/>
    <x v="19"/>
    <s v=""/>
    <s v="1:42:56"/>
    <x v="10"/>
  </r>
  <r>
    <x v="106"/>
    <x v="16"/>
    <s v="Lazdāne"/>
    <x v="262"/>
    <s v="Turaida"/>
    <s v="2:07:17"/>
    <x v="18"/>
  </r>
  <r>
    <x v="413"/>
    <x v="3"/>
    <s v="Lazdāne"/>
    <x v="72"/>
    <s v="Veloserviss"/>
    <s v="1:41:18"/>
    <x v="15"/>
  </r>
  <r>
    <x v="354"/>
    <x v="1"/>
    <s v="Lazdāns"/>
    <x v="19"/>
    <s v="Turaida"/>
    <s v="1:20:17"/>
    <x v="117"/>
  </r>
  <r>
    <x v="78"/>
    <x v="2"/>
    <s v="Lazdiņš"/>
    <x v="92"/>
    <s v=""/>
    <s v="1:41:59"/>
    <x v="103"/>
  </r>
  <r>
    <x v="414"/>
    <x v="2"/>
    <s v="Lazdiņš"/>
    <x v="92"/>
    <s v="Latvello"/>
    <s v="1:41:59"/>
    <x v="103"/>
  </r>
  <r>
    <x v="415"/>
    <x v="2"/>
    <s v="Lebedevs"/>
    <x v="190"/>
    <s v=""/>
    <s v="1:16:35"/>
    <x v="151"/>
  </r>
  <r>
    <x v="12"/>
    <x v="1"/>
    <s v="Lediņš"/>
    <x v="66"/>
    <s v="Fraternitas Lettica"/>
    <s v="1:20:31"/>
    <x v="84"/>
  </r>
  <r>
    <x v="416"/>
    <x v="3"/>
    <s v="Leiboma"/>
    <x v="263"/>
    <s v=""/>
    <s v="1:42:13"/>
    <x v="103"/>
  </r>
  <r>
    <x v="209"/>
    <x v="3"/>
    <s v="Leilande"/>
    <x v="264"/>
    <s v="Bensons Auto"/>
    <s v="2:04:04"/>
    <x v="18"/>
  </r>
  <r>
    <x v="417"/>
    <x v="10"/>
    <s v="Leimanis"/>
    <x v="49"/>
    <s v="MSĢ"/>
    <s v="1:39:09"/>
    <x v="48"/>
  </r>
  <r>
    <x v="24"/>
    <x v="16"/>
    <s v="Leitāne"/>
    <x v="257"/>
    <s v=""/>
    <s v="1:52:54"/>
    <x v="136"/>
  </r>
  <r>
    <x v="92"/>
    <x v="5"/>
    <s v="Lejiņš"/>
    <x v="157"/>
    <s v=""/>
    <s v="1:10:45"/>
    <x v="20"/>
  </r>
  <r>
    <x v="139"/>
    <x v="1"/>
    <s v="Lejiņš"/>
    <x v="52"/>
    <s v=""/>
    <s v="1:09:30"/>
    <x v="208"/>
  </r>
  <r>
    <x v="24"/>
    <x v="5"/>
    <s v="Lejiņš"/>
    <x v="179"/>
    <s v=""/>
    <s v="1:31:22"/>
    <x v="25"/>
  </r>
  <r>
    <x v="93"/>
    <x v="1"/>
    <s v="Lejiņš"/>
    <x v="5"/>
    <s v="Fans Cube Team"/>
    <s v="1:08:21"/>
    <x v="33"/>
  </r>
  <r>
    <x v="418"/>
    <x v="9"/>
    <s v="Lejiņš"/>
    <x v="23"/>
    <s v="Fans Cube Team"/>
    <s v="1:39:21"/>
    <x v="163"/>
  </r>
  <r>
    <x v="419"/>
    <x v="2"/>
    <s v="Lejnieks"/>
    <x v="20"/>
    <s v="Hansabanka"/>
    <s v="1:07:01"/>
    <x v="182"/>
  </r>
  <r>
    <x v="64"/>
    <x v="2"/>
    <s v="Lepers"/>
    <x v="103"/>
    <s v="Tandēms/Dobele"/>
    <s v="0:57:30"/>
    <x v="185"/>
  </r>
  <r>
    <x v="420"/>
    <x v="17"/>
    <s v="Lepse"/>
    <x v="265"/>
    <s v="Latvello"/>
    <s v="3:04:34"/>
    <x v="140"/>
  </r>
  <r>
    <x v="421"/>
    <x v="3"/>
    <s v="Letapure"/>
    <x v="196"/>
    <s v="Hansabanka"/>
    <s v="1:45:16"/>
    <x v="146"/>
  </r>
  <r>
    <x v="422"/>
    <x v="2"/>
    <s v="Levš"/>
    <x v="129"/>
    <s v="Daugavpils"/>
    <s v="0:58:29"/>
    <x v="210"/>
  </r>
  <r>
    <x v="100"/>
    <x v="2"/>
    <s v="Lezdiņš"/>
    <x v="46"/>
    <s v="Rīga"/>
    <s v="1:26:07"/>
    <x v="147"/>
  </r>
  <r>
    <x v="93"/>
    <x v="0"/>
    <s v="Līce"/>
    <x v="266"/>
    <s v="Fans Cub"/>
    <s v="1:24:18"/>
    <x v="101"/>
  </r>
  <r>
    <x v="136"/>
    <x v="13"/>
    <s v="Līcis"/>
    <x v="75"/>
    <s v=""/>
    <s v="1:47:15"/>
    <x v="168"/>
  </r>
  <r>
    <x v="136"/>
    <x v="5"/>
    <s v="Līcis"/>
    <x v="267"/>
    <s v=""/>
    <s v="1:14:49"/>
    <x v="49"/>
  </r>
  <r>
    <x v="423"/>
    <x v="3"/>
    <s v="Līduma"/>
    <x v="215"/>
    <s v=""/>
    <s v="1:30:15"/>
    <x v="140"/>
  </r>
  <r>
    <x v="164"/>
    <x v="1"/>
    <s v="Lielgalvis"/>
    <x v="9"/>
    <s v=""/>
    <s v="1:21:50"/>
    <x v="73"/>
  </r>
  <r>
    <x v="140"/>
    <x v="1"/>
    <s v="Lielgalvis"/>
    <x v="14"/>
    <s v=""/>
    <s v="1:25:51"/>
    <x v="86"/>
  </r>
  <r>
    <x v="424"/>
    <x v="2"/>
    <s v="Lielpēteris"/>
    <x v="129"/>
    <s v=""/>
    <s v="1:08:11"/>
    <x v="206"/>
  </r>
  <r>
    <x v="70"/>
    <x v="15"/>
    <s v="Liepa"/>
    <x v="28"/>
    <s v=""/>
    <s v="1:11:20"/>
    <x v="78"/>
  </r>
  <r>
    <x v="88"/>
    <x v="1"/>
    <s v="Liepa"/>
    <x v="22"/>
    <s v="Kalngale"/>
    <s v="1:16:57"/>
    <x v="125"/>
  </r>
  <r>
    <x v="29"/>
    <x v="3"/>
    <s v="Liepiņa"/>
    <x v="235"/>
    <s v="Rīga"/>
    <s v="2:15:49"/>
    <x v="211"/>
  </r>
  <r>
    <x v="425"/>
    <x v="3"/>
    <s v="Liepiņa"/>
    <x v="0"/>
    <s v=""/>
    <s v="1:11:35"/>
    <x v="40"/>
  </r>
  <r>
    <x v="426"/>
    <x v="3"/>
    <s v="Liepiņa"/>
    <x v="268"/>
    <s v=""/>
    <s v="1:31:47"/>
    <x v="145"/>
  </r>
  <r>
    <x v="427"/>
    <x v="3"/>
    <s v="Liepiņa"/>
    <x v="144"/>
    <s v=""/>
    <s v="1:33:50"/>
    <x v="161"/>
  </r>
  <r>
    <x v="91"/>
    <x v="2"/>
    <s v="Liepiņš"/>
    <x v="175"/>
    <s v="Tandēms/Dobel"/>
    <s v="0:57:00"/>
    <x v="180"/>
  </r>
  <r>
    <x v="226"/>
    <x v="1"/>
    <s v="Liepiņš"/>
    <x v="19"/>
    <s v="Salspils trase"/>
    <s v="1:12:54"/>
    <x v="169"/>
  </r>
  <r>
    <x v="80"/>
    <x v="13"/>
    <s v="Liepiņš"/>
    <x v="78"/>
    <s v="Tukuma sporta sk."/>
    <s v="1:13:46"/>
    <x v="92"/>
  </r>
  <r>
    <x v="428"/>
    <x v="2"/>
    <s v="Liepiņš"/>
    <x v="269"/>
    <s v=""/>
    <s v="1:17:23"/>
    <x v="98"/>
  </r>
  <r>
    <x v="429"/>
    <x v="2"/>
    <s v="Liepiņš"/>
    <x v="229"/>
    <s v=""/>
    <s v="1:15:17"/>
    <x v="71"/>
  </r>
  <r>
    <x v="430"/>
    <x v="2"/>
    <s v="Liepiņš"/>
    <x v="9"/>
    <s v=""/>
    <s v="1:08:33"/>
    <x v="29"/>
  </r>
  <r>
    <x v="431"/>
    <x v="2"/>
    <s v="Liepiņš"/>
    <x v="19"/>
    <s v="Veloserviss"/>
    <s v="1:44:46"/>
    <x v="27"/>
  </r>
  <r>
    <x v="432"/>
    <x v="2"/>
    <s v="Liepiņš"/>
    <x v="270"/>
    <s v="MSĢ"/>
    <s v="1:07:19"/>
    <x v="41"/>
  </r>
  <r>
    <x v="433"/>
    <x v="3"/>
    <s v="Līkuma"/>
    <x v="38"/>
    <s v="Viesnīca Santa"/>
    <s v="1:49:40"/>
    <x v="136"/>
  </r>
  <r>
    <x v="434"/>
    <x v="2"/>
    <s v="Linde"/>
    <x v="6"/>
    <s v="Ceļu Projekts"/>
    <s v="1:23:00"/>
    <x v="143"/>
  </r>
  <r>
    <x v="435"/>
    <x v="2"/>
    <s v="Locis"/>
    <x v="88"/>
    <s v="Karlos K"/>
    <s v="2:21:40"/>
    <x v="129"/>
  </r>
  <r>
    <x v="5"/>
    <x v="3"/>
    <s v="Logina"/>
    <x v="271"/>
    <s v=""/>
    <s v="1:37:56"/>
    <x v="212"/>
  </r>
  <r>
    <x v="245"/>
    <x v="2"/>
    <s v="Logins"/>
    <x v="272"/>
    <s v=""/>
    <s v="1:40:48"/>
    <x v="134"/>
  </r>
  <r>
    <x v="436"/>
    <x v="2"/>
    <s v="Loks"/>
    <x v="19"/>
    <s v="Krimuldas"/>
    <s v="1:16:45"/>
    <x v="14"/>
  </r>
  <r>
    <x v="437"/>
    <x v="2"/>
    <s v="Loks"/>
    <x v="49"/>
    <s v="Krimuldas vsk."/>
    <s v="1:41:27"/>
    <x v="52"/>
  </r>
  <r>
    <x v="438"/>
    <x v="2"/>
    <s v="Lopatko"/>
    <x v="22"/>
    <s v="Eži"/>
    <s v="1:13:52"/>
    <x v="45"/>
  </r>
  <r>
    <x v="439"/>
    <x v="2"/>
    <s v="Lubāns"/>
    <x v="15"/>
    <s v="Latvello"/>
    <s v="1:09:26"/>
    <x v="78"/>
  </r>
  <r>
    <x v="5"/>
    <x v="2"/>
    <s v="Lukjanovs"/>
    <x v="273"/>
    <s v="Veloserviss"/>
    <s v="1:12:47"/>
    <x v="49"/>
  </r>
  <r>
    <x v="440"/>
    <x v="2"/>
    <s v="Lurgins"/>
    <x v="210"/>
    <s v="Lonebiker"/>
    <s v="1:06:35"/>
    <x v="31"/>
  </r>
  <r>
    <x v="65"/>
    <x v="3"/>
    <s v="Lūse"/>
    <x v="134"/>
    <s v="Ogres raj."/>
    <s v="1:34:20"/>
    <x v="99"/>
  </r>
  <r>
    <x v="172"/>
    <x v="1"/>
    <s v="Lūsis"/>
    <x v="49"/>
    <s v="X-sports Cor"/>
    <s v="1:32:59"/>
    <x v="140"/>
  </r>
  <r>
    <x v="48"/>
    <x v="1"/>
    <s v="Lūsis"/>
    <x v="22"/>
    <s v=""/>
    <s v="1:21:47"/>
    <x v="85"/>
  </r>
  <r>
    <x v="441"/>
    <x v="2"/>
    <s v="Lūsis"/>
    <x v="274"/>
    <s v="Valmiera"/>
    <s v="1:06:51"/>
    <x v="176"/>
  </r>
  <r>
    <x v="442"/>
    <x v="2"/>
    <s v="Lūsis"/>
    <x v="157"/>
    <s v=""/>
    <s v="1:12:32"/>
    <x v="55"/>
  </r>
  <r>
    <x v="443"/>
    <x v="2"/>
    <s v="Lūsis"/>
    <x v="23"/>
    <s v=""/>
    <s v="1:04:53"/>
    <x v="155"/>
  </r>
  <r>
    <x v="444"/>
    <x v="2"/>
    <s v="Ļeonovs"/>
    <x v="199"/>
    <s v="Elkor sport-author"/>
    <s v="1:34:28"/>
    <x v="99"/>
  </r>
  <r>
    <x v="445"/>
    <x v="7"/>
    <s v="Ļevša"/>
    <x v="69"/>
    <s v="Daugavpils"/>
    <s v="1:39:29"/>
    <x v="163"/>
  </r>
  <r>
    <x v="446"/>
    <x v="2"/>
    <s v="Ļubickij"/>
    <x v="103"/>
    <s v="Elkor sports-author"/>
    <s v="1:00:25"/>
    <x v="203"/>
  </r>
  <r>
    <x v="447"/>
    <x v="2"/>
    <s v="Magaziņš"/>
    <x v="92"/>
    <s v="Ondulat"/>
    <s v="1:27:57"/>
    <x v="62"/>
  </r>
  <r>
    <x v="164"/>
    <x v="15"/>
    <s v="Magone"/>
    <x v="9"/>
    <s v="NN-Marss"/>
    <s v="1:15:19"/>
    <x v="93"/>
  </r>
  <r>
    <x v="448"/>
    <x v="2"/>
    <s v="Majors"/>
    <x v="19"/>
    <s v=""/>
    <s v="1:18:50"/>
    <x v="79"/>
  </r>
  <r>
    <x v="449"/>
    <x v="2"/>
    <s v="Majors"/>
    <x v="3"/>
    <s v=""/>
    <s v="1:03:10"/>
    <x v="102"/>
  </r>
  <r>
    <x v="450"/>
    <x v="2"/>
    <s v="Majors"/>
    <x v="66"/>
    <s v=""/>
    <s v="1:13:28"/>
    <x v="17"/>
  </r>
  <r>
    <x v="62"/>
    <x v="2"/>
    <s v="Maķeļenoks"/>
    <x v="19"/>
    <s v="Team Milo Latvia"/>
    <s v="2:41:15"/>
    <x v="213"/>
  </r>
  <r>
    <x v="80"/>
    <x v="1"/>
    <s v="Maķevics"/>
    <x v="7"/>
    <s v=""/>
    <s v="1:21:38"/>
    <x v="85"/>
  </r>
  <r>
    <x v="451"/>
    <x v="3"/>
    <s v="Maldere"/>
    <x v="275"/>
    <s v="Salaspils Zīriņi"/>
    <s v="1:46:15"/>
    <x v="178"/>
  </r>
  <r>
    <x v="78"/>
    <x v="2"/>
    <s v="Malderis"/>
    <x v="50"/>
    <s v="Salaspils Zīriņi"/>
    <s v="1:42:57"/>
    <x v="66"/>
  </r>
  <r>
    <x v="452"/>
    <x v="2"/>
    <s v="Malderis"/>
    <x v="110"/>
    <s v="Salaspils Zīriņi"/>
    <s v="1:42:57"/>
    <x v="66"/>
  </r>
  <r>
    <x v="453"/>
    <x v="3"/>
    <s v="Mālniece"/>
    <x v="276"/>
    <s v="&quot;Projekts Pēdas&quot;"/>
    <s v="1:14:38"/>
    <x v="12"/>
  </r>
  <r>
    <x v="198"/>
    <x v="2"/>
    <s v="Mālnieks"/>
    <x v="156"/>
    <s v=""/>
    <s v="1:17:11"/>
    <x v="157"/>
  </r>
  <r>
    <x v="454"/>
    <x v="3"/>
    <s v="Mantiņa"/>
    <x v="94"/>
    <s v=""/>
    <s v="1:27:44"/>
    <x v="24"/>
  </r>
  <r>
    <x v="455"/>
    <x v="2"/>
    <s v="Mantiņš"/>
    <x v="91"/>
    <s v=""/>
    <s v="1:12:10"/>
    <x v="22"/>
  </r>
  <r>
    <x v="456"/>
    <x v="2"/>
    <s v="Mantiņš"/>
    <x v="131"/>
    <s v=""/>
    <s v="1:32:53"/>
    <x v="5"/>
  </r>
  <r>
    <x v="94"/>
    <x v="1"/>
    <s v="Marais"/>
    <x v="15"/>
    <s v="Rietumu nafta"/>
    <s v="1:18:26"/>
    <x v="196"/>
  </r>
  <r>
    <x v="90"/>
    <x v="1"/>
    <s v="Marčenkovs"/>
    <x v="152"/>
    <s v="Salaspils Zīriņi"/>
    <s v="1:21:44"/>
    <x v="85"/>
  </r>
  <r>
    <x v="170"/>
    <x v="13"/>
    <s v="Marčenkovs"/>
    <x v="29"/>
    <s v="Salaspils Zīriņi"/>
    <s v="1:57:52"/>
    <x v="187"/>
  </r>
  <r>
    <x v="36"/>
    <x v="2"/>
    <s v="Markitāns"/>
    <x v="277"/>
    <s v="Cēsis"/>
    <s v="1:08:01"/>
    <x v="54"/>
  </r>
  <r>
    <x v="21"/>
    <x v="2"/>
    <s v="Markss"/>
    <x v="74"/>
    <s v="Spectus/Smiltene"/>
    <s v="0:59:56"/>
    <x v="75"/>
  </r>
  <r>
    <x v="209"/>
    <x v="2"/>
    <s v="Markss"/>
    <x v="278"/>
    <s v="Spectus-Smiltene"/>
    <s v="0:58:08"/>
    <x v="81"/>
  </r>
  <r>
    <x v="209"/>
    <x v="2"/>
    <s v="Martinsons"/>
    <x v="15"/>
    <s v="Rīga"/>
    <s v="1:15:35"/>
    <x v="1"/>
  </r>
  <r>
    <x v="457"/>
    <x v="9"/>
    <s v="Matvejs"/>
    <x v="22"/>
    <s v=""/>
    <s v="2:05:21"/>
    <x v="214"/>
  </r>
  <r>
    <x v="24"/>
    <x v="1"/>
    <s v="Maurāns"/>
    <x v="129"/>
    <s v=""/>
    <s v="1:45:16"/>
    <x v="103"/>
  </r>
  <r>
    <x v="198"/>
    <x v="2"/>
    <s v="Mazurs"/>
    <x v="35"/>
    <s v="Olaine"/>
    <s v="1:15:59"/>
    <x v="74"/>
  </r>
  <r>
    <x v="458"/>
    <x v="2"/>
    <s v="Mazurs"/>
    <x v="44"/>
    <s v="Tērvete"/>
    <s v="1:14:19"/>
    <x v="111"/>
  </r>
  <r>
    <x v="459"/>
    <x v="2"/>
    <s v="Mazurs"/>
    <x v="19"/>
    <s v="Tērvete"/>
    <s v="1:01:54"/>
    <x v="64"/>
  </r>
  <r>
    <x v="460"/>
    <x v="2"/>
    <s v="Mednis"/>
    <x v="33"/>
    <s v=""/>
    <s v="1:03:14"/>
    <x v="102"/>
  </r>
  <r>
    <x v="461"/>
    <x v="2"/>
    <s v="Medvēģevs"/>
    <x v="174"/>
    <s v=""/>
    <s v="1:18:15"/>
    <x v="84"/>
  </r>
  <r>
    <x v="224"/>
    <x v="0"/>
    <s v="Meldrāja"/>
    <x v="279"/>
    <s v="Ķekava"/>
    <s v="1:54:24"/>
    <x v="215"/>
  </r>
  <r>
    <x v="224"/>
    <x v="13"/>
    <s v="Meldrājs"/>
    <x v="280"/>
    <s v="Ķekava"/>
    <s v="1:41:37"/>
    <x v="135"/>
  </r>
  <r>
    <x v="224"/>
    <x v="5"/>
    <s v="Meldrājs"/>
    <x v="278"/>
    <s v="Ķekava"/>
    <s v="1:42:12"/>
    <x v="16"/>
  </r>
  <r>
    <x v="119"/>
    <x v="1"/>
    <s v="Melgalvis"/>
    <x v="7"/>
    <s v="Valmiera"/>
    <s v="1:05:02"/>
    <x v="102"/>
  </r>
  <r>
    <x v="462"/>
    <x v="3"/>
    <s v="Meļņikovs"/>
    <x v="281"/>
    <s v="Veloserviss"/>
    <s v="2:28:40"/>
    <x v="202"/>
  </r>
  <r>
    <x v="182"/>
    <x v="2"/>
    <s v="Meņģelis"/>
    <x v="78"/>
    <s v=""/>
    <s v="1:02:11"/>
    <x v="90"/>
  </r>
  <r>
    <x v="85"/>
    <x v="2"/>
    <s v="Midegs"/>
    <x v="13"/>
    <s v="Zeņģis Racing Team"/>
    <s v="1:01:19"/>
    <x v="214"/>
  </r>
  <r>
    <x v="463"/>
    <x v="9"/>
    <s v="Mierkalns"/>
    <x v="52"/>
    <s v="Tandēms"/>
    <s v="1:38:54"/>
    <x v="28"/>
  </r>
  <r>
    <x v="464"/>
    <x v="2"/>
    <s v="Miezītis"/>
    <x v="67"/>
    <s v="Valmiera"/>
    <s v="1:11:15"/>
    <x v="83"/>
  </r>
  <r>
    <x v="12"/>
    <x v="1"/>
    <s v="Miglāns"/>
    <x v="9"/>
    <s v="Trek Philips"/>
    <s v="1:03:52"/>
    <x v="6"/>
  </r>
  <r>
    <x v="465"/>
    <x v="2"/>
    <s v="Mihailovs"/>
    <x v="282"/>
    <s v="mtb.lv"/>
    <s v="1:01:42"/>
    <x v="177"/>
  </r>
  <r>
    <x v="466"/>
    <x v="2"/>
    <s v="Mihalovskis"/>
    <x v="146"/>
    <s v="Salaspils Zīriņi"/>
    <s v="1:30:59"/>
    <x v="110"/>
  </r>
  <r>
    <x v="467"/>
    <x v="3"/>
    <s v="Mikāne"/>
    <x v="106"/>
    <s v="Timurs"/>
    <s v="1:36:49"/>
    <x v="60"/>
  </r>
  <r>
    <x v="468"/>
    <x v="2"/>
    <s v="Miķelsnons"/>
    <x v="47"/>
    <s v="ZZK"/>
    <s v="1:16:17"/>
    <x v="196"/>
  </r>
  <r>
    <x v="469"/>
    <x v="2"/>
    <s v="Miķelsnons"/>
    <x v="283"/>
    <s v="ZZK"/>
    <s v="1:34:10"/>
    <x v="161"/>
  </r>
  <r>
    <x v="83"/>
    <x v="3"/>
    <s v="Miķelsone"/>
    <x v="135"/>
    <s v="Sigulda"/>
    <s v="1:48:26"/>
    <x v="144"/>
  </r>
  <r>
    <x v="12"/>
    <x v="0"/>
    <s v="Miķelsone"/>
    <x v="182"/>
    <s v="Jūrmala"/>
    <s v="1:54:51"/>
    <x v="215"/>
  </r>
  <r>
    <x v="92"/>
    <x v="5"/>
    <s v="Miķelsons"/>
    <x v="39"/>
    <s v=""/>
    <s v="1:10:59"/>
    <x v="216"/>
  </r>
  <r>
    <x v="24"/>
    <x v="13"/>
    <s v="Miķelsons"/>
    <x v="19"/>
    <s v=""/>
    <s v="1:23:40"/>
    <x v="8"/>
  </r>
  <r>
    <x v="470"/>
    <x v="11"/>
    <s v="Miķelsons"/>
    <x v="15"/>
    <s v="Latvello"/>
    <s v="1:48:47"/>
    <x v="217"/>
  </r>
  <r>
    <x v="471"/>
    <x v="2"/>
    <s v="Miķelsons"/>
    <x v="20"/>
    <s v=""/>
    <s v="1:11:38"/>
    <x v="40"/>
  </r>
  <r>
    <x v="472"/>
    <x v="2"/>
    <s v="Milovānovs"/>
    <x v="158"/>
    <s v="Veloserviss"/>
    <s v="1:28:28"/>
    <x v="87"/>
  </r>
  <r>
    <x v="473"/>
    <x v="3"/>
    <s v="Miļūna"/>
    <x v="148"/>
    <s v=""/>
    <s v="1:12:12"/>
    <x v="22"/>
  </r>
  <r>
    <x v="18"/>
    <x v="3"/>
    <s v="Misūne"/>
    <x v="85"/>
    <s v="Rīga"/>
    <s v="2:01:10"/>
    <x v="119"/>
  </r>
  <r>
    <x v="74"/>
    <x v="2"/>
    <s v="Misūns"/>
    <x v="46"/>
    <s v="Rīga"/>
    <s v="2:01:28"/>
    <x v="61"/>
  </r>
  <r>
    <x v="9"/>
    <x v="5"/>
    <s v="Misūns"/>
    <x v="96"/>
    <s v="Bosch"/>
    <s v="1:26:52"/>
    <x v="218"/>
  </r>
  <r>
    <x v="17"/>
    <x v="2"/>
    <s v="Mitans"/>
    <x v="83"/>
    <s v="Cēsis"/>
    <s v="1:17:00"/>
    <x v="157"/>
  </r>
  <r>
    <x v="21"/>
    <x v="3"/>
    <s v="Morzika"/>
    <x v="124"/>
    <s v="Salaspils Zīriņi"/>
    <s v="1:27:14"/>
    <x v="153"/>
  </r>
  <r>
    <x v="474"/>
    <x v="2"/>
    <s v="Morziks"/>
    <x v="248"/>
    <s v="Salaspils Zīriņi"/>
    <s v="1:31:23"/>
    <x v="124"/>
  </r>
  <r>
    <x v="59"/>
    <x v="2"/>
    <s v="Mosins"/>
    <x v="133"/>
    <s v="Bābelīte"/>
    <s v="1:09:32"/>
    <x v="78"/>
  </r>
  <r>
    <x v="475"/>
    <x v="2"/>
    <s v="Mosins"/>
    <x v="284"/>
    <s v="Bābelīte"/>
    <s v="1:12:06"/>
    <x v="39"/>
  </r>
  <r>
    <x v="21"/>
    <x v="2"/>
    <s v="Mošenkovs"/>
    <x v="49"/>
    <s v=""/>
    <s v="1:02:12"/>
    <x v="90"/>
  </r>
  <r>
    <x v="476"/>
    <x v="2"/>
    <s v="Mozga"/>
    <x v="22"/>
    <s v="Hansabanka"/>
    <s v="1:16:23"/>
    <x v="151"/>
  </r>
  <r>
    <x v="94"/>
    <x v="1"/>
    <s v="Mozulis"/>
    <x v="88"/>
    <s v="Rietumu Nafta"/>
    <s v="1:13:44"/>
    <x v="92"/>
  </r>
  <r>
    <x v="477"/>
    <x v="2"/>
    <s v="Mozulis"/>
    <x v="19"/>
    <s v="Ogre"/>
    <s v="1:36:32"/>
    <x v="154"/>
  </r>
  <r>
    <x v="74"/>
    <x v="2"/>
    <s v="Mucenieks"/>
    <x v="15"/>
    <s v="Dūdas"/>
    <s v="1:38:12"/>
    <x v="219"/>
  </r>
  <r>
    <x v="78"/>
    <x v="2"/>
    <s v="Mucenieks"/>
    <x v="236"/>
    <s v=""/>
    <s v="2:06:46"/>
    <x v="38"/>
  </r>
  <r>
    <x v="18"/>
    <x v="2"/>
    <s v="Mucenieks"/>
    <x v="40"/>
    <s v="Dūdas"/>
    <s v="1:38:10"/>
    <x v="219"/>
  </r>
  <r>
    <x v="478"/>
    <x v="2"/>
    <s v="Mucenieks"/>
    <x v="29"/>
    <s v=""/>
    <s v="2:06:46"/>
    <x v="38"/>
  </r>
  <r>
    <x v="479"/>
    <x v="2"/>
    <s v="Mucenieks"/>
    <x v="35"/>
    <s v=""/>
    <s v="1:23:15"/>
    <x v="7"/>
  </r>
  <r>
    <x v="105"/>
    <x v="1"/>
    <s v="Muižarājs"/>
    <x v="2"/>
    <s v="Smiltene"/>
    <s v="1:24:05"/>
    <x v="101"/>
  </r>
  <r>
    <x v="105"/>
    <x v="5"/>
    <s v="Muižarājs"/>
    <x v="285"/>
    <s v="Valka"/>
    <s v="1:25:45"/>
    <x v="86"/>
  </r>
  <r>
    <x v="480"/>
    <x v="2"/>
    <s v="Muižnieks"/>
    <x v="7"/>
    <s v=""/>
    <s v="1:05:27"/>
    <x v="97"/>
  </r>
  <r>
    <x v="481"/>
    <x v="3"/>
    <s v="Murāne"/>
    <x v="286"/>
    <s v="&quot;Projekts Pēdas&quot;"/>
    <s v="1:43:46"/>
    <x v="69"/>
  </r>
  <r>
    <x v="482"/>
    <x v="3"/>
    <s v="Murāne"/>
    <x v="287"/>
    <s v="&quot;Projekts Pēdas&quot;"/>
    <s v="1:20:39"/>
    <x v="51"/>
  </r>
  <r>
    <x v="78"/>
    <x v="2"/>
    <s v="Murāns"/>
    <x v="49"/>
    <s v="&quot;Projekts Pēdas&quot;"/>
    <s v="1:41:07"/>
    <x v="15"/>
  </r>
  <r>
    <x v="483"/>
    <x v="2"/>
    <s v="Murāns"/>
    <x v="40"/>
    <s v="&quot;Projekts Pēdas&quot;"/>
    <s v="1:41:08"/>
    <x v="15"/>
  </r>
  <r>
    <x v="484"/>
    <x v="2"/>
    <s v="Muravjovs"/>
    <x v="169"/>
    <s v="Karlos K"/>
    <s v="1:44:53"/>
    <x v="27"/>
  </r>
  <r>
    <x v="198"/>
    <x v="2"/>
    <s v="Mūrmanis"/>
    <x v="19"/>
    <s v="Babīte"/>
    <s v="1:27:27"/>
    <x v="153"/>
  </r>
  <r>
    <x v="485"/>
    <x v="2"/>
    <s v="Mūrnieks"/>
    <x v="129"/>
    <s v="Hansabanka"/>
    <s v="1:08:28"/>
    <x v="29"/>
  </r>
  <r>
    <x v="486"/>
    <x v="3"/>
    <s v="Murovska"/>
    <x v="288"/>
    <s v=""/>
    <s v="1:13:02"/>
    <x v="96"/>
  </r>
  <r>
    <x v="182"/>
    <x v="1"/>
    <s v="Murovskis"/>
    <x v="11"/>
    <s v=""/>
    <s v="1:18:46"/>
    <x v="151"/>
  </r>
  <r>
    <x v="487"/>
    <x v="2"/>
    <s v="Murovskis"/>
    <x v="19"/>
    <s v=""/>
    <s v="1:34:57"/>
    <x v="67"/>
  </r>
  <r>
    <x v="83"/>
    <x v="3"/>
    <s v="Narnicka"/>
    <x v="117"/>
    <s v=""/>
    <s v="1:41:31"/>
    <x v="52"/>
  </r>
  <r>
    <x v="83"/>
    <x v="2"/>
    <s v="Narnickis"/>
    <x v="33"/>
    <s v=""/>
    <s v="1:43:55"/>
    <x v="69"/>
  </r>
  <r>
    <x v="198"/>
    <x v="2"/>
    <s v="Nātra"/>
    <x v="88"/>
    <s v="Saldus"/>
    <s v="2:08:47"/>
    <x v="220"/>
  </r>
  <r>
    <x v="488"/>
    <x v="2"/>
    <s v="Naumovs"/>
    <x v="6"/>
    <s v="Grods"/>
    <s v="1:17:28"/>
    <x v="98"/>
  </r>
  <r>
    <x v="489"/>
    <x v="2"/>
    <s v="Naumovs"/>
    <x v="289"/>
    <s v="Karlos K"/>
    <s v="1:33:16"/>
    <x v="89"/>
  </r>
  <r>
    <x v="490"/>
    <x v="2"/>
    <s v="Nāzers"/>
    <x v="6"/>
    <s v="VIC velokurjers"/>
    <s v="1:21:16"/>
    <x v="8"/>
  </r>
  <r>
    <x v="53"/>
    <x v="1"/>
    <s v="Neimanis"/>
    <x v="19"/>
    <s v=""/>
    <s v="1:20:06"/>
    <x v="117"/>
  </r>
  <r>
    <x v="491"/>
    <x v="12"/>
    <s v="Neimanis"/>
    <x v="19"/>
    <s v="Grobiņa"/>
    <s v="1:41:21"/>
    <x v="221"/>
  </r>
  <r>
    <x v="194"/>
    <x v="3"/>
    <s v="Nēliusa"/>
    <x v="111"/>
    <s v="karters.lv"/>
    <s v="1:50:13"/>
    <x v="137"/>
  </r>
  <r>
    <x v="12"/>
    <x v="1"/>
    <s v="Nelsons"/>
    <x v="22"/>
    <s v="Hansabanka"/>
    <s v="1:47:02"/>
    <x v="168"/>
  </r>
  <r>
    <x v="12"/>
    <x v="5"/>
    <s v="Nelsons"/>
    <x v="39"/>
    <s v="Carnikava"/>
    <s v="1:40:50"/>
    <x v="212"/>
  </r>
  <r>
    <x v="492"/>
    <x v="3"/>
    <s v="Nemenjonoka"/>
    <x v="106"/>
    <s v="Veloserviss"/>
    <s v="1:31:49"/>
    <x v="145"/>
  </r>
  <r>
    <x v="493"/>
    <x v="2"/>
    <s v="Nemenjonoks"/>
    <x v="103"/>
    <s v="Veloserviss"/>
    <s v="1:31:49"/>
    <x v="145"/>
  </r>
  <r>
    <x v="94"/>
    <x v="1"/>
    <s v="Nemiro"/>
    <x v="103"/>
    <s v="Veloserviss"/>
    <s v="1:24:13"/>
    <x v="101"/>
  </r>
  <r>
    <x v="226"/>
    <x v="1"/>
    <s v="Nerugals"/>
    <x v="60"/>
    <s v=""/>
    <s v="1:09:33"/>
    <x v="208"/>
  </r>
  <r>
    <x v="141"/>
    <x v="1"/>
    <s v="Nete"/>
    <x v="2"/>
    <s v=""/>
    <s v="1:09:40"/>
    <x v="208"/>
  </r>
  <r>
    <x v="59"/>
    <x v="1"/>
    <s v="Niedols"/>
    <x v="15"/>
    <s v=""/>
    <s v="2:00:38"/>
    <x v="37"/>
  </r>
  <r>
    <x v="494"/>
    <x v="2"/>
    <s v="Niedra"/>
    <x v="1"/>
    <s v=""/>
    <s v="1:06:28"/>
    <x v="31"/>
  </r>
  <r>
    <x v="495"/>
    <x v="10"/>
    <s v="Nikolajenko"/>
    <x v="192"/>
    <s v="Spars"/>
    <s v="1:39:18"/>
    <x v="48"/>
  </r>
  <r>
    <x v="105"/>
    <x v="13"/>
    <s v="Nikolajevs"/>
    <x v="19"/>
    <s v="Cēsis"/>
    <s v="1:14:14"/>
    <x v="22"/>
  </r>
  <r>
    <x v="496"/>
    <x v="2"/>
    <s v="Nikolajevs"/>
    <x v="290"/>
    <s v="NCC Konstrukcijas"/>
    <s v="1:41:57"/>
    <x v="103"/>
  </r>
  <r>
    <x v="497"/>
    <x v="2"/>
    <s v="Nikoluškins"/>
    <x v="131"/>
    <s v=""/>
    <s v="1:11:40"/>
    <x v="40"/>
  </r>
  <r>
    <x v="498"/>
    <x v="13"/>
    <s v="Nikoņenko"/>
    <x v="3"/>
    <s v="Salaspils"/>
    <s v="2:05:42"/>
    <x v="183"/>
  </r>
  <r>
    <x v="97"/>
    <x v="5"/>
    <s v="Nītiņš"/>
    <x v="3"/>
    <s v="Hansabanka"/>
    <s v="1:11:22"/>
    <x v="78"/>
  </r>
  <r>
    <x v="499"/>
    <x v="2"/>
    <s v="Nodievs"/>
    <x v="29"/>
    <s v="&quot;Projekts Pēdas&quot;"/>
    <s v="1:27:49"/>
    <x v="24"/>
  </r>
  <r>
    <x v="500"/>
    <x v="2"/>
    <s v="Norberts"/>
    <x v="291"/>
    <s v="Frukawa"/>
    <s v="1:07:04"/>
    <x v="182"/>
  </r>
  <r>
    <x v="501"/>
    <x v="3"/>
    <s v="Noreika"/>
    <x v="292"/>
    <s v=""/>
    <s v="1:34:17"/>
    <x v="99"/>
  </r>
  <r>
    <x v="226"/>
    <x v="5"/>
    <s v="Noreiks"/>
    <x v="7"/>
    <s v=""/>
    <s v="1:09:47"/>
    <x v="91"/>
  </r>
  <r>
    <x v="76"/>
    <x v="4"/>
    <s v="Noreiks"/>
    <x v="99"/>
    <s v=""/>
    <s v="1:14:11"/>
    <x v="39"/>
  </r>
  <r>
    <x v="502"/>
    <x v="3"/>
    <s v="Noriņa"/>
    <x v="87"/>
    <s v="Limbaži"/>
    <s v="1:17:15"/>
    <x v="98"/>
  </r>
  <r>
    <x v="503"/>
    <x v="3"/>
    <s v="Ņikrasova"/>
    <x v="293"/>
    <s v="Veloserviss"/>
    <s v="2:14:07"/>
    <x v="222"/>
  </r>
  <r>
    <x v="504"/>
    <x v="3"/>
    <s v="Odziņa"/>
    <x v="294"/>
    <s v=""/>
    <s v="1:27:43"/>
    <x v="24"/>
  </r>
  <r>
    <x v="505"/>
    <x v="2"/>
    <s v="Olders"/>
    <x v="113"/>
    <s v=""/>
    <s v="1:48:42"/>
    <x v="144"/>
  </r>
  <r>
    <x v="78"/>
    <x v="2"/>
    <s v="Opmanis"/>
    <x v="295"/>
    <s v="SK Favorīts"/>
    <s v="2:01:02"/>
    <x v="119"/>
  </r>
  <r>
    <x v="506"/>
    <x v="2"/>
    <s v="Opmanis"/>
    <x v="232"/>
    <s v="SK Favorīts"/>
    <s v="2:01:03"/>
    <x v="119"/>
  </r>
  <r>
    <x v="507"/>
    <x v="2"/>
    <s v="Orniņš"/>
    <x v="19"/>
    <s v="Santeko"/>
    <s v="1:15:34"/>
    <x v="1"/>
  </r>
  <r>
    <x v="508"/>
    <x v="2"/>
    <s v="Osaulenko"/>
    <x v="145"/>
    <s v=""/>
    <s v="1:28:04"/>
    <x v="62"/>
  </r>
  <r>
    <x v="131"/>
    <x v="5"/>
    <s v="Osītis"/>
    <x v="5"/>
    <s v="Cēsis 800 - Cēsu alus"/>
    <s v="1:02:42"/>
    <x v="223"/>
  </r>
  <r>
    <x v="17"/>
    <x v="2"/>
    <s v="Ošenieks"/>
    <x v="19"/>
    <s v="Rīga"/>
    <s v="1:21:32"/>
    <x v="95"/>
  </r>
  <r>
    <x v="509"/>
    <x v="3"/>
    <s v="Ošiņa"/>
    <x v="36"/>
    <s v=""/>
    <s v="1:43:54"/>
    <x v="69"/>
  </r>
  <r>
    <x v="510"/>
    <x v="2"/>
    <s v="Ošs"/>
    <x v="296"/>
    <s v=""/>
    <s v="1:15:05"/>
    <x v="94"/>
  </r>
  <r>
    <x v="209"/>
    <x v="2"/>
    <s v="Ozers"/>
    <x v="44"/>
    <s v=""/>
    <s v="0:58:42"/>
    <x v="224"/>
  </r>
  <r>
    <x v="511"/>
    <x v="3"/>
    <s v="Ozola"/>
    <x v="297"/>
    <s v=""/>
    <s v="1:31:16"/>
    <x v="110"/>
  </r>
  <r>
    <x v="85"/>
    <x v="0"/>
    <s v="Ozoliņa"/>
    <x v="298"/>
    <s v="Hansabanka"/>
    <s v="2:06:52"/>
    <x v="133"/>
  </r>
  <r>
    <x v="512"/>
    <x v="3"/>
    <s v="Ozoliņa"/>
    <x v="299"/>
    <s v="Hansabanka"/>
    <s v="1:56:32"/>
    <x v="159"/>
  </r>
  <r>
    <x v="513"/>
    <x v="3"/>
    <s v="Ozoliņa"/>
    <x v="300"/>
    <s v="Piņķi"/>
    <s v="1:21:46"/>
    <x v="101"/>
  </r>
  <r>
    <x v="514"/>
    <x v="3"/>
    <s v="Ozoliņa"/>
    <x v="301"/>
    <s v=""/>
    <s v="1:31:16"/>
    <x v="110"/>
  </r>
  <r>
    <x v="515"/>
    <x v="3"/>
    <s v="Ozoliņa"/>
    <x v="302"/>
    <s v=""/>
    <s v="1:23:36"/>
    <x v="86"/>
  </r>
  <r>
    <x v="16"/>
    <x v="2"/>
    <s v="Ozoliņš"/>
    <x v="303"/>
    <s v="Lāči"/>
    <s v="1:19:05"/>
    <x v="107"/>
  </r>
  <r>
    <x v="91"/>
    <x v="15"/>
    <s v="Ozoliņš"/>
    <x v="160"/>
    <s v="Valka"/>
    <s v="1:07:41"/>
    <x v="158"/>
  </r>
  <r>
    <x v="91"/>
    <x v="15"/>
    <s v="Ozoliņš"/>
    <x v="39"/>
    <s v="3V"/>
    <s v="1:06:09"/>
    <x v="44"/>
  </r>
  <r>
    <x v="57"/>
    <x v="5"/>
    <s v="Ozoliņš"/>
    <x v="46"/>
    <s v="3V"/>
    <s v="1:07:52"/>
    <x v="56"/>
  </r>
  <r>
    <x v="80"/>
    <x v="4"/>
    <s v="Ozoliņš"/>
    <x v="92"/>
    <s v="Valka"/>
    <s v="1:12:38"/>
    <x v="198"/>
  </r>
  <r>
    <x v="53"/>
    <x v="4"/>
    <s v="Ozoliņš"/>
    <x v="304"/>
    <s v=""/>
    <s v="1:18:18"/>
    <x v="196"/>
  </r>
  <r>
    <x v="118"/>
    <x v="5"/>
    <s v="Ozoliņš"/>
    <x v="29"/>
    <s v=""/>
    <s v="1:40:02"/>
    <x v="225"/>
  </r>
  <r>
    <x v="85"/>
    <x v="1"/>
    <s v="Ozoliņš"/>
    <x v="305"/>
    <s v="Hansabanka"/>
    <s v="1:45:50"/>
    <x v="80"/>
  </r>
  <r>
    <x v="193"/>
    <x v="2"/>
    <s v="Ozoliņš"/>
    <x v="33"/>
    <s v="ZZK"/>
    <s v="1:03:01"/>
    <x v="2"/>
  </r>
  <r>
    <x v="516"/>
    <x v="2"/>
    <s v="Ozoliņš"/>
    <x v="52"/>
    <s v="R/a 2 koki u.c. Zvēri"/>
    <s v="1:26:47"/>
    <x v="192"/>
  </r>
  <r>
    <x v="517"/>
    <x v="2"/>
    <s v="Ozoliņš"/>
    <x v="306"/>
    <s v="Veloserviss"/>
    <s v="2:11:43"/>
    <x v="226"/>
  </r>
  <r>
    <x v="518"/>
    <x v="2"/>
    <s v="Ozoliņš"/>
    <x v="5"/>
    <s v=""/>
    <s v="0:57:25"/>
    <x v="185"/>
  </r>
  <r>
    <x v="172"/>
    <x v="1"/>
    <s v="Ozols"/>
    <x v="19"/>
    <s v="Tukums"/>
    <s v="1:06:46"/>
    <x v="155"/>
  </r>
  <r>
    <x v="119"/>
    <x v="13"/>
    <s v="Ozols"/>
    <x v="307"/>
    <s v="Cēsis"/>
    <s v="1:54:39"/>
    <x v="215"/>
  </r>
  <r>
    <x v="59"/>
    <x v="5"/>
    <s v="Ozols"/>
    <x v="308"/>
    <s v="Cēsis"/>
    <s v="1:13:18"/>
    <x v="83"/>
  </r>
  <r>
    <x v="12"/>
    <x v="6"/>
    <s v="Ozols"/>
    <x v="9"/>
    <s v="Rīga"/>
    <s v="1:24:20"/>
    <x v="101"/>
  </r>
  <r>
    <x v="519"/>
    <x v="2"/>
    <s v="Ozols"/>
    <x v="20"/>
    <s v="V-Sports"/>
    <s v="1:02:27"/>
    <x v="120"/>
  </r>
  <r>
    <x v="520"/>
    <x v="2"/>
    <s v="Ozols"/>
    <x v="52"/>
    <s v="V-Sports"/>
    <s v="1:01:47"/>
    <x v="64"/>
  </r>
  <r>
    <x v="521"/>
    <x v="2"/>
    <s v="Ozols"/>
    <x v="51"/>
    <s v=""/>
    <s v="1:13:39"/>
    <x v="17"/>
  </r>
  <r>
    <x v="522"/>
    <x v="2"/>
    <s v="Ozols"/>
    <x v="49"/>
    <s v=""/>
    <s v="1:34:23"/>
    <x v="99"/>
  </r>
  <r>
    <x v="523"/>
    <x v="2"/>
    <s v="Ozols"/>
    <x v="11"/>
    <s v=""/>
    <s v="1:20:40"/>
    <x v="51"/>
  </r>
  <r>
    <x v="524"/>
    <x v="2"/>
    <s v="Ozols"/>
    <x v="9"/>
    <s v=""/>
    <s v="1:03:16"/>
    <x v="227"/>
  </r>
  <r>
    <x v="525"/>
    <x v="2"/>
    <s v="Ozols"/>
    <x v="19"/>
    <s v=""/>
    <s v="1:15:22"/>
    <x v="71"/>
  </r>
  <r>
    <x v="158"/>
    <x v="1"/>
    <s v="Paegle"/>
    <x v="28"/>
    <s v="KHS-Briko"/>
    <s v="1:19:14"/>
    <x v="157"/>
  </r>
  <r>
    <x v="158"/>
    <x v="1"/>
    <s v="Paegle"/>
    <x v="29"/>
    <s v="KHS-Briko"/>
    <s v="1:04:38"/>
    <x v="167"/>
  </r>
  <r>
    <x v="526"/>
    <x v="3"/>
    <s v="Paegle"/>
    <x v="0"/>
    <s v=""/>
    <s v="1:15:48"/>
    <x v="1"/>
  </r>
  <r>
    <x v="527"/>
    <x v="3"/>
    <s v="Paegle"/>
    <x v="109"/>
    <s v="R/a 2 koki u.c. Zvēri"/>
    <s v="1:20:57"/>
    <x v="4"/>
  </r>
  <r>
    <x v="36"/>
    <x v="2"/>
    <s v="Paeglis"/>
    <x v="93"/>
    <s v="Rīga"/>
    <s v="1:29:58"/>
    <x v="205"/>
  </r>
  <r>
    <x v="120"/>
    <x v="2"/>
    <s v="Paeglis"/>
    <x v="309"/>
    <s v="R/a 2 koki u.c. Zvēri"/>
    <s v="0:59:06"/>
    <x v="204"/>
  </r>
  <r>
    <x v="38"/>
    <x v="2"/>
    <s v="Paeglis"/>
    <x v="19"/>
    <s v=""/>
    <s v="1:01:51"/>
    <x v="64"/>
  </r>
  <r>
    <x v="528"/>
    <x v="2"/>
    <s v="Paeglis"/>
    <x v="90"/>
    <s v=""/>
    <s v="1:16:24"/>
    <x v="151"/>
  </r>
  <r>
    <x v="529"/>
    <x v="2"/>
    <s v="Paije"/>
    <x v="47"/>
    <s v="Latvijas Gāze"/>
    <s v="1:29:43"/>
    <x v="76"/>
  </r>
  <r>
    <x v="28"/>
    <x v="1"/>
    <s v="Pakulis"/>
    <x v="19"/>
    <s v=""/>
    <s v="1:10:01"/>
    <x v="54"/>
  </r>
  <r>
    <x v="164"/>
    <x v="5"/>
    <s v="Panders"/>
    <x v="83"/>
    <s v=""/>
    <s v="1:17:57"/>
    <x v="1"/>
  </r>
  <r>
    <x v="118"/>
    <x v="4"/>
    <s v="Panders"/>
    <x v="166"/>
    <s v=""/>
    <s v="1:29:46"/>
    <x v="153"/>
  </r>
  <r>
    <x v="530"/>
    <x v="10"/>
    <s v="Parings"/>
    <x v="310"/>
    <s v="Trek-Philips"/>
    <s v="1:38:45"/>
    <x v="35"/>
  </r>
  <r>
    <x v="140"/>
    <x v="5"/>
    <s v="Pastors"/>
    <x v="15"/>
    <s v="Rīga"/>
    <s v="1:29:25"/>
    <x v="192"/>
  </r>
  <r>
    <x v="531"/>
    <x v="3"/>
    <s v="Paškovska"/>
    <x v="311"/>
    <s v="NCC Konstrukcij"/>
    <s v="1:37:32"/>
    <x v="225"/>
  </r>
  <r>
    <x v="532"/>
    <x v="2"/>
    <s v="Pauliņš"/>
    <x v="44"/>
    <s v="&quot;Projekts Pēdas&quot;"/>
    <s v="1:07:57"/>
    <x v="91"/>
  </r>
  <r>
    <x v="533"/>
    <x v="2"/>
    <s v="Paulis"/>
    <x v="312"/>
    <s v="Velo-30"/>
    <s v="1:35:34"/>
    <x v="30"/>
  </r>
  <r>
    <x v="159"/>
    <x v="1"/>
    <s v="Pavārs"/>
    <x v="51"/>
    <s v="Cirkulis"/>
    <s v="1:18:13"/>
    <x v="74"/>
  </r>
  <r>
    <x v="141"/>
    <x v="15"/>
    <s v="Pāvuls"/>
    <x v="313"/>
    <s v="Ķekava"/>
    <s v="1:13:20"/>
    <x v="83"/>
  </r>
  <r>
    <x v="70"/>
    <x v="13"/>
    <s v="Pāvuls"/>
    <x v="314"/>
    <s v="Ķekava"/>
    <s v="1:44:41"/>
    <x v="52"/>
  </r>
  <r>
    <x v="29"/>
    <x v="3"/>
    <s v="Pelcberga"/>
    <x v="41"/>
    <s v="Rīga"/>
    <s v="1:56:43"/>
    <x v="37"/>
  </r>
  <r>
    <x v="131"/>
    <x v="1"/>
    <s v="Pelcbergs"/>
    <x v="5"/>
    <s v="Rīga"/>
    <s v="2:08:21"/>
    <x v="171"/>
  </r>
  <r>
    <x v="534"/>
    <x v="2"/>
    <s v="Pelšs"/>
    <x v="19"/>
    <s v="&quot;Projekts Pēdas&quot;"/>
    <s v="1:07:53"/>
    <x v="91"/>
  </r>
  <r>
    <x v="535"/>
    <x v="3"/>
    <s v="Pētermane"/>
    <x v="178"/>
    <s v=""/>
    <s v="1:29:36"/>
    <x v="76"/>
  </r>
  <r>
    <x v="36"/>
    <x v="3"/>
    <s v="Pētersone"/>
    <x v="315"/>
    <s v="Saulkrasti"/>
    <s v="1:29:04"/>
    <x v="70"/>
  </r>
  <r>
    <x v="176"/>
    <x v="3"/>
    <s v="Pētersone"/>
    <x v="316"/>
    <s v=""/>
    <s v="1:52:46"/>
    <x v="170"/>
  </r>
  <r>
    <x v="536"/>
    <x v="3"/>
    <s v="Pētersone"/>
    <x v="109"/>
    <s v="&quot;Projekts Pēdas&quot;"/>
    <s v="1:46:49"/>
    <x v="109"/>
  </r>
  <r>
    <x v="176"/>
    <x v="2"/>
    <s v="Pētersons"/>
    <x v="19"/>
    <s v=""/>
    <s v="1:52:46"/>
    <x v="170"/>
  </r>
  <r>
    <x v="78"/>
    <x v="2"/>
    <s v="Pētersons"/>
    <x v="92"/>
    <s v="&quot;Projekts Pēdas&quot;"/>
    <s v="1:15:30"/>
    <x v="71"/>
  </r>
  <r>
    <x v="1"/>
    <x v="2"/>
    <s v="Pētersons"/>
    <x v="166"/>
    <s v=""/>
    <s v="0:58:35"/>
    <x v="82"/>
  </r>
  <r>
    <x v="537"/>
    <x v="2"/>
    <s v="Pētersons"/>
    <x v="19"/>
    <s v=""/>
    <s v="1:03:02"/>
    <x v="2"/>
  </r>
  <r>
    <x v="6"/>
    <x v="1"/>
    <s v="Petrovs"/>
    <x v="218"/>
    <s v="Fans Cube Team"/>
    <s v="1:24:49"/>
    <x v="3"/>
  </r>
  <r>
    <x v="538"/>
    <x v="2"/>
    <s v="Petrovs"/>
    <x v="158"/>
    <s v=""/>
    <s v="1:05:31"/>
    <x v="97"/>
  </r>
  <r>
    <x v="539"/>
    <x v="12"/>
    <s v="Pikšēns"/>
    <x v="74"/>
    <s v="Rīgas Dome"/>
    <s v="1:39:55"/>
    <x v="228"/>
  </r>
  <r>
    <x v="540"/>
    <x v="3"/>
    <s v="Piļipaviča"/>
    <x v="134"/>
    <s v="&quot;Projekts Pēdas&quot;"/>
    <s v="1:34:35"/>
    <x v="99"/>
  </r>
  <r>
    <x v="394"/>
    <x v="4"/>
    <s v="Pīmanis"/>
    <x v="179"/>
    <s v="Rīga"/>
    <s v="1:45:30"/>
    <x v="80"/>
  </r>
  <r>
    <x v="541"/>
    <x v="3"/>
    <s v="Pipare"/>
    <x v="215"/>
    <s v="Ģimenīte &quot;Pipariņi&quot;"/>
    <s v="1:16:30"/>
    <x v="151"/>
  </r>
  <r>
    <x v="542"/>
    <x v="2"/>
    <s v="Pipars"/>
    <x v="14"/>
    <s v="Ģimenīte &quot;Pipariņi&quot;"/>
    <s v="1:16:30"/>
    <x v="151"/>
  </r>
  <r>
    <x v="543"/>
    <x v="2"/>
    <s v="Pipars"/>
    <x v="67"/>
    <s v="Ģimenīte &quot;Pipariņi&quot;"/>
    <s v="1:16:31"/>
    <x v="151"/>
  </r>
  <r>
    <x v="544"/>
    <x v="2"/>
    <s v="Pipars"/>
    <x v="19"/>
    <s v="Ģimenīte &quot;Pipariņi&quot;"/>
    <s v="1:16:32"/>
    <x v="151"/>
  </r>
  <r>
    <x v="545"/>
    <x v="12"/>
    <s v="Piziks"/>
    <x v="280"/>
    <s v="V3"/>
    <s v="1:39:56"/>
    <x v="228"/>
  </r>
  <r>
    <x v="546"/>
    <x v="9"/>
    <s v="Platacis"/>
    <x v="97"/>
    <s v=""/>
    <s v="1:40:01"/>
    <x v="190"/>
  </r>
  <r>
    <x v="354"/>
    <x v="5"/>
    <s v="Plezers"/>
    <x v="317"/>
    <s v="Fuji Team"/>
    <s v="1:10:26"/>
    <x v="29"/>
  </r>
  <r>
    <x v="547"/>
    <x v="2"/>
    <s v="Plezers"/>
    <x v="19"/>
    <s v="Fuji Team"/>
    <s v="1:33:30"/>
    <x v="173"/>
  </r>
  <r>
    <x v="548"/>
    <x v="12"/>
    <s v="Plūme"/>
    <x v="52"/>
    <s v="Hotel Centra Latvello"/>
    <s v="1:40:21"/>
    <x v="127"/>
  </r>
  <r>
    <x v="549"/>
    <x v="9"/>
    <s v="Plūme"/>
    <x v="66"/>
    <s v=""/>
    <s v="1:39:23"/>
    <x v="163"/>
  </r>
  <r>
    <x v="550"/>
    <x v="3"/>
    <s v="Pļaviņa"/>
    <x v="196"/>
    <s v="&quot;Projekts Pēdas&quot;"/>
    <s v="1:34:13"/>
    <x v="99"/>
  </r>
  <r>
    <x v="551"/>
    <x v="2"/>
    <s v="Pļaviņš"/>
    <x v="52"/>
    <s v="Ceļu Projekts"/>
    <s v="1:31:57"/>
    <x v="145"/>
  </r>
  <r>
    <x v="552"/>
    <x v="2"/>
    <s v="Podiņš"/>
    <x v="318"/>
    <s v=""/>
    <s v="1:09:45"/>
    <x v="194"/>
  </r>
  <r>
    <x v="356"/>
    <x v="2"/>
    <s v="Podlubnijjs"/>
    <x v="210"/>
    <s v="Rīga"/>
    <s v="1:23:50"/>
    <x v="88"/>
  </r>
  <r>
    <x v="175"/>
    <x v="2"/>
    <s v="Podnieks"/>
    <x v="52"/>
    <s v=""/>
    <s v="1:37:28"/>
    <x v="225"/>
  </r>
  <r>
    <x v="176"/>
    <x v="2"/>
    <s v="Podnieks"/>
    <x v="39"/>
    <s v=""/>
    <s v="1:34:37"/>
    <x v="67"/>
  </r>
  <r>
    <x v="553"/>
    <x v="2"/>
    <s v="Podziņš"/>
    <x v="3"/>
    <s v="NCC Konstrukcijas"/>
    <s v="1:16:02"/>
    <x v="74"/>
  </r>
  <r>
    <x v="90"/>
    <x v="15"/>
    <s v="Pogodins"/>
    <x v="319"/>
    <s v="NN-Marss"/>
    <s v="1:05:03"/>
    <x v="102"/>
  </r>
  <r>
    <x v="554"/>
    <x v="2"/>
    <s v="Poišs"/>
    <x v="19"/>
    <s v="&quot;Projekts Pēdas&quot;"/>
    <s v="1:12:03"/>
    <x v="39"/>
  </r>
  <r>
    <x v="118"/>
    <x v="0"/>
    <s v="Pole"/>
    <x v="16"/>
    <s v=""/>
    <s v="2:20:08"/>
    <x v="211"/>
  </r>
  <r>
    <x v="159"/>
    <x v="5"/>
    <s v="Polis"/>
    <x v="90"/>
    <s v=""/>
    <s v="1:18:27"/>
    <x v="196"/>
  </r>
  <r>
    <x v="555"/>
    <x v="2"/>
    <s v="Poļakovskis"/>
    <x v="6"/>
    <s v="Kāpa"/>
    <s v="1:31:55"/>
    <x v="145"/>
  </r>
  <r>
    <x v="556"/>
    <x v="2"/>
    <s v="Poļakovskis"/>
    <x v="52"/>
    <s v="Dual"/>
    <s v="1:28:01"/>
    <x v="62"/>
  </r>
  <r>
    <x v="394"/>
    <x v="2"/>
    <s v="Pomarņevskis"/>
    <x v="103"/>
    <s v=""/>
    <s v="0:57:25"/>
    <x v="185"/>
  </r>
  <r>
    <x v="136"/>
    <x v="1"/>
    <s v="Pommers"/>
    <x v="15"/>
    <s v="Salaspils Zīriņi"/>
    <s v="1:18:21"/>
    <x v="196"/>
  </r>
  <r>
    <x v="29"/>
    <x v="2"/>
    <s v="Porejs"/>
    <x v="97"/>
    <s v="Rīga"/>
    <s v="1:33:06"/>
    <x v="89"/>
  </r>
  <r>
    <x v="141"/>
    <x v="1"/>
    <s v="Porietis"/>
    <x v="19"/>
    <s v=""/>
    <s v="1:11:30"/>
    <x v="78"/>
  </r>
  <r>
    <x v="519"/>
    <x v="1"/>
    <s v="Pors"/>
    <x v="44"/>
    <s v="Cēsis"/>
    <s v="2:00:42"/>
    <x v="141"/>
  </r>
  <r>
    <x v="131"/>
    <x v="13"/>
    <s v="Portnajs"/>
    <x v="164"/>
    <s v="Concorde"/>
    <s v="1:23:41"/>
    <x v="8"/>
  </r>
  <r>
    <x v="36"/>
    <x v="2"/>
    <s v="Pošeika"/>
    <x v="52"/>
    <s v="Sigulda"/>
    <s v="1:12:47"/>
    <x v="49"/>
  </r>
  <r>
    <x v="80"/>
    <x v="0"/>
    <s v="Poška"/>
    <x v="41"/>
    <s v="Rollerblade champion"/>
    <s v="1:24:08"/>
    <x v="101"/>
  </r>
  <r>
    <x v="136"/>
    <x v="13"/>
    <s v="Poška"/>
    <x v="58"/>
    <s v="Rollerblade-champion"/>
    <s v="1:18:03"/>
    <x v="74"/>
  </r>
  <r>
    <x v="85"/>
    <x v="15"/>
    <s v="Prauliņš"/>
    <x v="50"/>
    <s v="NN-Marss"/>
    <s v="1:00:56"/>
    <x v="160"/>
  </r>
  <r>
    <x v="141"/>
    <x v="13"/>
    <s v="Preimanis"/>
    <x v="11"/>
    <s v="Baltika"/>
    <s v="1:14:17"/>
    <x v="22"/>
  </r>
  <r>
    <x v="356"/>
    <x v="2"/>
    <s v="Priede"/>
    <x v="9"/>
    <s v="Ķekava"/>
    <s v="1:16:48"/>
    <x v="14"/>
  </r>
  <r>
    <x v="557"/>
    <x v="2"/>
    <s v="Priede"/>
    <x v="35"/>
    <s v=""/>
    <s v="1:14:56"/>
    <x v="125"/>
  </r>
  <r>
    <x v="558"/>
    <x v="2"/>
    <s v="Priede"/>
    <x v="19"/>
    <s v=""/>
    <s v="1:13:16"/>
    <x v="93"/>
  </r>
  <r>
    <x v="117"/>
    <x v="1"/>
    <s v="Priedēns"/>
    <x v="22"/>
    <s v="Ventspils"/>
    <s v="1:22:12"/>
    <x v="162"/>
  </r>
  <r>
    <x v="78"/>
    <x v="2"/>
    <s v="Priedītis"/>
    <x v="24"/>
    <s v=""/>
    <s v="1:25:54"/>
    <x v="112"/>
  </r>
  <r>
    <x v="59"/>
    <x v="5"/>
    <s v="Priedītis"/>
    <x v="19"/>
    <s v=""/>
    <s v="1:19:37"/>
    <x v="98"/>
  </r>
  <r>
    <x v="559"/>
    <x v="2"/>
    <s v="Priedītis"/>
    <x v="18"/>
    <s v="Sia Laneks-Kone"/>
    <s v="1:05:08"/>
    <x v="229"/>
  </r>
  <r>
    <x v="560"/>
    <x v="3"/>
    <s v="Priedniece"/>
    <x v="100"/>
    <s v=""/>
    <s v="1:30:44"/>
    <x v="34"/>
  </r>
  <r>
    <x v="561"/>
    <x v="2"/>
    <s v="Priednieks"/>
    <x v="6"/>
    <s v=""/>
    <s v="1:11:18"/>
    <x v="83"/>
  </r>
  <r>
    <x v="562"/>
    <x v="2"/>
    <s v="Priednieks"/>
    <x v="40"/>
    <s v=""/>
    <s v="1:23:43"/>
    <x v="88"/>
  </r>
  <r>
    <x v="563"/>
    <x v="2"/>
    <s v="Prikulis"/>
    <x v="88"/>
    <s v="Veloserviss"/>
    <s v="1:10:13"/>
    <x v="128"/>
  </r>
  <r>
    <x v="100"/>
    <x v="2"/>
    <s v="Prīsis"/>
    <x v="52"/>
    <s v="Rīga"/>
    <s v="1:21:55"/>
    <x v="101"/>
  </r>
  <r>
    <x v="92"/>
    <x v="1"/>
    <s v="Prižavoits"/>
    <x v="19"/>
    <s v="Ķegums"/>
    <s v="1:11:23"/>
    <x v="78"/>
  </r>
  <r>
    <x v="564"/>
    <x v="2"/>
    <s v="Priževoits"/>
    <x v="15"/>
    <s v="NCC Konstrukcijas"/>
    <s v="2:01:09"/>
    <x v="119"/>
  </r>
  <r>
    <x v="394"/>
    <x v="13"/>
    <s v="Prokofjevs"/>
    <x v="129"/>
    <s v="Raimaks"/>
    <s v="1:15:40"/>
    <x v="17"/>
  </r>
  <r>
    <x v="394"/>
    <x v="4"/>
    <s v="Prokofjevs"/>
    <x v="6"/>
    <s v="Raimaks"/>
    <s v="1:06:43"/>
    <x v="155"/>
  </r>
  <r>
    <x v="565"/>
    <x v="3"/>
    <s v="Proņičeva"/>
    <x v="320"/>
    <s v="Tukums"/>
    <s v="1:52:00"/>
    <x v="32"/>
  </r>
  <r>
    <x v="566"/>
    <x v="3"/>
    <s v="Pūce"/>
    <x v="111"/>
    <s v=""/>
    <s v="1:34:43"/>
    <x v="67"/>
  </r>
  <r>
    <x v="567"/>
    <x v="2"/>
    <s v="Pugovičs"/>
    <x v="130"/>
    <s v=""/>
    <s v="1:19:49"/>
    <x v="73"/>
  </r>
  <r>
    <x v="568"/>
    <x v="2"/>
    <s v="Pugovičs"/>
    <x v="49"/>
    <s v=""/>
    <s v="1:19:49"/>
    <x v="73"/>
  </r>
  <r>
    <x v="569"/>
    <x v="2"/>
    <s v="Puikāns"/>
    <x v="7"/>
    <s v="&quot;Projekts Pēdas&quot;"/>
    <s v="1:27:25"/>
    <x v="153"/>
  </r>
  <r>
    <x v="173"/>
    <x v="13"/>
    <s v="Pujats"/>
    <x v="40"/>
    <s v="Spars"/>
    <s v="1:06:06"/>
    <x v="44"/>
  </r>
  <r>
    <x v="570"/>
    <x v="2"/>
    <s v="Pūliņš"/>
    <x v="61"/>
    <s v="VIC velokurjers"/>
    <s v="1:04:37"/>
    <x v="181"/>
  </r>
  <r>
    <x v="194"/>
    <x v="2"/>
    <s v="Pumpurs"/>
    <x v="133"/>
    <s v="Rauna"/>
    <s v="1:31:58"/>
    <x v="145"/>
  </r>
  <r>
    <x v="571"/>
    <x v="2"/>
    <s v="Punculis"/>
    <x v="223"/>
    <s v=""/>
    <s v="1:08:06"/>
    <x v="54"/>
  </r>
  <r>
    <x v="572"/>
    <x v="12"/>
    <s v="Pundurs"/>
    <x v="90"/>
    <s v="Hotel Centra Latvello"/>
    <s v="1:39:38"/>
    <x v="166"/>
  </r>
  <r>
    <x v="573"/>
    <x v="7"/>
    <s v="Puriņš"/>
    <x v="19"/>
    <s v=""/>
    <s v="1:46:21"/>
    <x v="230"/>
  </r>
  <r>
    <x v="574"/>
    <x v="2"/>
    <s v="Puriņš"/>
    <x v="129"/>
    <s v="Saulkrasti"/>
    <s v="1:21:43"/>
    <x v="101"/>
  </r>
  <r>
    <x v="575"/>
    <x v="2"/>
    <s v="Puriņš"/>
    <x v="88"/>
    <s v="Saulkrasti"/>
    <s v="1:08:16"/>
    <x v="206"/>
  </r>
  <r>
    <x v="576"/>
    <x v="2"/>
    <s v="Purmalis"/>
    <x v="278"/>
    <s v=""/>
    <s v="1:03:23"/>
    <x v="227"/>
  </r>
  <r>
    <x v="577"/>
    <x v="2"/>
    <s v="Purmalis"/>
    <x v="63"/>
    <s v="Marss"/>
    <s v="0:57:33"/>
    <x v="21"/>
  </r>
  <r>
    <x v="164"/>
    <x v="1"/>
    <s v="Purviņš"/>
    <x v="129"/>
    <s v="Veloserviss"/>
    <s v="1:15:57"/>
    <x v="45"/>
  </r>
  <r>
    <x v="175"/>
    <x v="3"/>
    <s v="Putāne"/>
    <x v="16"/>
    <s v=""/>
    <s v="1:36:43"/>
    <x v="154"/>
  </r>
  <r>
    <x v="578"/>
    <x v="7"/>
    <s v="Puzaks"/>
    <x v="39"/>
    <s v="Rietumu Banka"/>
    <s v="1:39:53"/>
    <x v="228"/>
  </r>
  <r>
    <x v="91"/>
    <x v="1"/>
    <s v="Rabša"/>
    <x v="24"/>
    <s v="NN-Marss"/>
    <s v="1:19:49"/>
    <x v="26"/>
  </r>
  <r>
    <x v="194"/>
    <x v="2"/>
    <s v="Račis"/>
    <x v="9"/>
    <s v="Velo 30"/>
    <s v="1:34:16"/>
    <x v="99"/>
  </r>
  <r>
    <x v="579"/>
    <x v="17"/>
    <s v="Radionova"/>
    <x v="211"/>
    <s v="Daugavpils"/>
    <s v="1:46:41"/>
    <x v="231"/>
  </r>
  <r>
    <x v="580"/>
    <x v="3"/>
    <s v="Radziņa"/>
    <x v="134"/>
    <s v="Hansabanka"/>
    <s v="1:41:21"/>
    <x v="15"/>
  </r>
  <r>
    <x v="11"/>
    <x v="3"/>
    <s v="Raituma"/>
    <x v="123"/>
    <s v="Rīga"/>
    <s v="1:46:49"/>
    <x v="109"/>
  </r>
  <r>
    <x v="11"/>
    <x v="2"/>
    <s v="Raitums"/>
    <x v="39"/>
    <s v="Rīga"/>
    <s v="1:47:04"/>
    <x v="109"/>
  </r>
  <r>
    <x v="13"/>
    <x v="1"/>
    <s v="Raitums"/>
    <x v="3"/>
    <s v="Rīga"/>
    <s v="1:21:10"/>
    <x v="79"/>
  </r>
  <r>
    <x v="581"/>
    <x v="3"/>
    <s v="Rancāne"/>
    <x v="111"/>
    <s v="Hansabanka"/>
    <s v="1:27:26"/>
    <x v="153"/>
  </r>
  <r>
    <x v="80"/>
    <x v="1"/>
    <s v="Rancāns"/>
    <x v="9"/>
    <s v="Hansabanka"/>
    <s v="1:27:37"/>
    <x v="130"/>
  </r>
  <r>
    <x v="582"/>
    <x v="2"/>
    <s v="Rancāns"/>
    <x v="28"/>
    <s v="Hansabanka"/>
    <s v="1:30:38"/>
    <x v="34"/>
  </r>
  <r>
    <x v="16"/>
    <x v="2"/>
    <s v="Ranis"/>
    <x v="54"/>
    <s v="BRT"/>
    <s v="1:28:36"/>
    <x v="87"/>
  </r>
  <r>
    <x v="172"/>
    <x v="1"/>
    <s v="Rapa"/>
    <x v="19"/>
    <s v="Fuji Team"/>
    <s v="1:10:40"/>
    <x v="20"/>
  </r>
  <r>
    <x v="583"/>
    <x v="3"/>
    <s v="Rapa"/>
    <x v="321"/>
    <s v="V-sports"/>
    <s v="1:17:29"/>
    <x v="98"/>
  </r>
  <r>
    <x v="584"/>
    <x v="2"/>
    <s v="Rasiņš"/>
    <x v="15"/>
    <s v="Tandēms"/>
    <s v="1:27:45"/>
    <x v="24"/>
  </r>
  <r>
    <x v="585"/>
    <x v="3"/>
    <s v="Rasmane"/>
    <x v="322"/>
    <s v=""/>
    <s v="1:39:30"/>
    <x v="16"/>
  </r>
  <r>
    <x v="67"/>
    <x v="2"/>
    <s v="Rasmanis"/>
    <x v="24"/>
    <s v="Rīga"/>
    <s v="1:26:11"/>
    <x v="147"/>
  </r>
  <r>
    <x v="28"/>
    <x v="4"/>
    <s v="Rasmanis"/>
    <x v="44"/>
    <s v=""/>
    <s v="1:17:07"/>
    <x v="125"/>
  </r>
  <r>
    <x v="28"/>
    <x v="6"/>
    <s v="Rasmanis"/>
    <x v="92"/>
    <s v=""/>
    <s v="1:23:23"/>
    <x v="4"/>
  </r>
  <r>
    <x v="586"/>
    <x v="2"/>
    <s v="Rasmanis"/>
    <x v="54"/>
    <s v=""/>
    <s v="1:32:48"/>
    <x v="5"/>
  </r>
  <r>
    <x v="172"/>
    <x v="2"/>
    <s v="Ratiniks"/>
    <x v="193"/>
    <s v="Hawaii Express"/>
    <s v="0:57:07"/>
    <x v="232"/>
  </r>
  <r>
    <x v="97"/>
    <x v="5"/>
    <s v="Rautenbergs"/>
    <x v="35"/>
    <s v=""/>
    <s v="1:09:50"/>
    <x v="91"/>
  </r>
  <r>
    <x v="587"/>
    <x v="3"/>
    <s v="Regža"/>
    <x v="120"/>
    <s v="Ondulat"/>
    <s v="1:29:52"/>
    <x v="205"/>
  </r>
  <r>
    <x v="588"/>
    <x v="2"/>
    <s v="Regža"/>
    <x v="239"/>
    <s v="Ondulat"/>
    <s v="1:25:54"/>
    <x v="112"/>
  </r>
  <r>
    <x v="589"/>
    <x v="3"/>
    <s v="Regža"/>
    <x v="87"/>
    <s v="Ondulat"/>
    <s v="1:33:58"/>
    <x v="161"/>
  </r>
  <r>
    <x v="590"/>
    <x v="3"/>
    <s v="Regža"/>
    <x v="72"/>
    <s v="Ondulat"/>
    <s v="1:39:51"/>
    <x v="11"/>
  </r>
  <r>
    <x v="591"/>
    <x v="2"/>
    <s v="Regža"/>
    <x v="93"/>
    <s v="Ondulat"/>
    <s v="1:38:23"/>
    <x v="219"/>
  </r>
  <r>
    <x v="592"/>
    <x v="2"/>
    <s v="Reigass"/>
    <x v="15"/>
    <s v="Ogre"/>
    <s v="1:20:35"/>
    <x v="51"/>
  </r>
  <r>
    <x v="6"/>
    <x v="1"/>
    <s v="Reimanis"/>
    <x v="323"/>
    <s v="Talsi"/>
    <s v="1:22:49"/>
    <x v="51"/>
  </r>
  <r>
    <x v="593"/>
    <x v="2"/>
    <s v="Reimats"/>
    <x v="19"/>
    <s v="&quot;Projekts Pēdas&quot;"/>
    <s v="1:19:16"/>
    <x v="85"/>
  </r>
  <r>
    <x v="207"/>
    <x v="15"/>
    <s v="Reinolds"/>
    <x v="67"/>
    <s v="ZZK"/>
    <s v="1:03:36"/>
    <x v="64"/>
  </r>
  <r>
    <x v="182"/>
    <x v="13"/>
    <s v="Reiss"/>
    <x v="179"/>
    <s v="Sprints AVK Tukums"/>
    <s v="1:18:30"/>
    <x v="196"/>
  </r>
  <r>
    <x v="594"/>
    <x v="2"/>
    <s v="Reiters"/>
    <x v="15"/>
    <s v=""/>
    <s v="1:18:26"/>
    <x v="46"/>
  </r>
  <r>
    <x v="70"/>
    <x v="1"/>
    <s v="Rēns"/>
    <x v="249"/>
    <s v="Tinis"/>
    <s v="1:11:18"/>
    <x v="78"/>
  </r>
  <r>
    <x v="595"/>
    <x v="2"/>
    <s v="Reņķis"/>
    <x v="251"/>
    <s v="Reir"/>
    <s v="0:57:17"/>
    <x v="200"/>
  </r>
  <r>
    <x v="596"/>
    <x v="7"/>
    <s v="Repiševskis"/>
    <x v="204"/>
    <s v="Latvello"/>
    <s v="1:39:48"/>
    <x v="228"/>
  </r>
  <r>
    <x v="105"/>
    <x v="1"/>
    <s v="Riekstiņš"/>
    <x v="19"/>
    <s v="Talsu raj."/>
    <s v="1:23:15"/>
    <x v="4"/>
  </r>
  <r>
    <x v="394"/>
    <x v="15"/>
    <s v="Riekstiņš"/>
    <x v="131"/>
    <s v="Laumas"/>
    <s v="1:20:17"/>
    <x v="117"/>
  </r>
  <r>
    <x v="394"/>
    <x v="1"/>
    <s v="Riekstiņš"/>
    <x v="156"/>
    <s v="Laumas"/>
    <s v="1:19:37"/>
    <x v="98"/>
  </r>
  <r>
    <x v="597"/>
    <x v="2"/>
    <s v="Riekstiņš"/>
    <x v="9"/>
    <s v=""/>
    <s v="1:03:21"/>
    <x v="227"/>
  </r>
  <r>
    <x v="598"/>
    <x v="9"/>
    <s v="Riekstiņš"/>
    <x v="19"/>
    <s v="Ape"/>
    <s v="2:00:53"/>
    <x v="160"/>
  </r>
  <r>
    <x v="599"/>
    <x v="2"/>
    <s v="Riekstiņš"/>
    <x v="6"/>
    <s v="V-Sports"/>
    <s v="1:14:27"/>
    <x v="111"/>
  </r>
  <r>
    <x v="600"/>
    <x v="2"/>
    <s v="Riks"/>
    <x v="158"/>
    <s v="Elkor sports-author"/>
    <s v="1:20:25"/>
    <x v="195"/>
  </r>
  <r>
    <x v="22"/>
    <x v="3"/>
    <s v="Rikša"/>
    <x v="170"/>
    <s v="Lāči"/>
    <s v="1:50:44"/>
    <x v="72"/>
  </r>
  <r>
    <x v="601"/>
    <x v="11"/>
    <s v="Rinkus"/>
    <x v="324"/>
    <s v=""/>
    <s v="2:08:10"/>
    <x v="167"/>
  </r>
  <r>
    <x v="48"/>
    <x v="5"/>
    <s v="Roģis"/>
    <x v="19"/>
    <s v="Madona"/>
    <s v="1:22:05"/>
    <x v="73"/>
  </r>
  <r>
    <x v="602"/>
    <x v="2"/>
    <s v="Rohtlo"/>
    <x v="133"/>
    <s v=""/>
    <s v="1:09:00"/>
    <x v="216"/>
  </r>
  <r>
    <x v="184"/>
    <x v="1"/>
    <s v="Roķis"/>
    <x v="65"/>
    <s v="Līnijdeju klubs"/>
    <s v="1:13:49"/>
    <x v="92"/>
  </r>
  <r>
    <x v="603"/>
    <x v="2"/>
    <s v="Roķis"/>
    <x v="129"/>
    <s v="Sigulda"/>
    <s v="1:09:09"/>
    <x v="115"/>
  </r>
  <r>
    <x v="604"/>
    <x v="2"/>
    <s v="Romanovska"/>
    <x v="325"/>
    <s v="Ikšķile"/>
    <s v="1:23:39"/>
    <x v="86"/>
  </r>
  <r>
    <x v="605"/>
    <x v="2"/>
    <s v="Romanovskis"/>
    <x v="326"/>
    <s v="Ikšķile"/>
    <s v="1:08:13"/>
    <x v="206"/>
  </r>
  <r>
    <x v="606"/>
    <x v="2"/>
    <s v="Romanovskis"/>
    <x v="327"/>
    <s v="Ikšķile"/>
    <s v="1:09:07"/>
    <x v="115"/>
  </r>
  <r>
    <x v="67"/>
    <x v="3"/>
    <s v="Romenkova"/>
    <x v="0"/>
    <s v="Ikšķiles varenais trijnieks"/>
    <s v="1:42:07"/>
    <x v="103"/>
  </r>
  <r>
    <x v="607"/>
    <x v="2"/>
    <s v="Ronis"/>
    <x v="67"/>
    <s v=""/>
    <s v="1:26:19"/>
    <x v="147"/>
  </r>
  <r>
    <x v="608"/>
    <x v="3"/>
    <s v="Rozebkova"/>
    <x v="328"/>
    <s v="Zepter"/>
    <s v="1:15:21"/>
    <x v="71"/>
  </r>
  <r>
    <x v="173"/>
    <x v="0"/>
    <s v="Rozenberga"/>
    <x v="87"/>
    <s v=""/>
    <s v="2:01:49"/>
    <x v="142"/>
  </r>
  <r>
    <x v="173"/>
    <x v="14"/>
    <s v="Rozenbrergs"/>
    <x v="129"/>
    <s v=""/>
    <s v="1:52:37"/>
    <x v="136"/>
  </r>
  <r>
    <x v="609"/>
    <x v="2"/>
    <s v="Rozenfelds"/>
    <x v="329"/>
    <s v="Reir"/>
    <s v="1:20:19"/>
    <x v="195"/>
  </r>
  <r>
    <x v="610"/>
    <x v="2"/>
    <s v="Rozenfelds"/>
    <x v="19"/>
    <s v="Patrioti"/>
    <s v="1:17:17"/>
    <x v="98"/>
  </r>
  <r>
    <x v="78"/>
    <x v="2"/>
    <s v="Rozenšteins"/>
    <x v="184"/>
    <s v=""/>
    <s v="2:03:34"/>
    <x v="18"/>
  </r>
  <r>
    <x v="611"/>
    <x v="2"/>
    <s v="Rozenšteins"/>
    <x v="129"/>
    <s v=""/>
    <s v="1:07:40"/>
    <x v="208"/>
  </r>
  <r>
    <x v="612"/>
    <x v="3"/>
    <s v="Rozīte"/>
    <x v="330"/>
    <s v=""/>
    <s v="1:56:08"/>
    <x v="159"/>
  </r>
  <r>
    <x v="131"/>
    <x v="2"/>
    <s v="Rozītis"/>
    <x v="15"/>
    <s v=""/>
    <s v="1:05:13"/>
    <x v="229"/>
  </r>
  <r>
    <x v="613"/>
    <x v="2"/>
    <s v="Rozītis"/>
    <x v="19"/>
    <s v="Sigulda"/>
    <s v="1:02:32"/>
    <x v="43"/>
  </r>
  <r>
    <x v="158"/>
    <x v="1"/>
    <s v="Roznieks"/>
    <x v="19"/>
    <s v="Zumus"/>
    <s v="1:12:38"/>
    <x v="198"/>
  </r>
  <r>
    <x v="614"/>
    <x v="12"/>
    <s v="Rubenis"/>
    <x v="14"/>
    <s v="z/s Beitāni"/>
    <s v="1:39:58"/>
    <x v="228"/>
  </r>
  <r>
    <x v="64"/>
    <x v="4"/>
    <s v="Rubiks"/>
    <x v="19"/>
    <s v="3V"/>
    <s v="1:03:42"/>
    <x v="64"/>
  </r>
  <r>
    <x v="94"/>
    <x v="2"/>
    <s v="Rubiks"/>
    <x v="22"/>
    <s v="ZZK"/>
    <s v="0:57:27"/>
    <x v="185"/>
  </r>
  <r>
    <x v="67"/>
    <x v="3"/>
    <s v="Ručevska"/>
    <x v="331"/>
    <s v="Vecāķi"/>
    <s v="1:57:43"/>
    <x v="141"/>
  </r>
  <r>
    <x v="83"/>
    <x v="3"/>
    <s v="Rudi"/>
    <x v="332"/>
    <s v="Sigulda"/>
    <s v="1:50:46"/>
    <x v="72"/>
  </r>
  <r>
    <x v="226"/>
    <x v="5"/>
    <s v="Rudi"/>
    <x v="88"/>
    <s v="Tridens"/>
    <s v="1:09:54"/>
    <x v="91"/>
  </r>
  <r>
    <x v="64"/>
    <x v="1"/>
    <s v="Rudzītis"/>
    <x v="78"/>
    <s v="ZZK"/>
    <s v="1:06:04"/>
    <x v="44"/>
  </r>
  <r>
    <x v="53"/>
    <x v="5"/>
    <s v="Rudzītis"/>
    <x v="76"/>
    <s v=""/>
    <s v="1:21:27"/>
    <x v="107"/>
  </r>
  <r>
    <x v="193"/>
    <x v="1"/>
    <s v="Rudzītis"/>
    <x v="7"/>
    <s v=""/>
    <s v="1:23:19"/>
    <x v="4"/>
  </r>
  <r>
    <x v="615"/>
    <x v="3"/>
    <s v="Rulle"/>
    <x v="134"/>
    <s v=""/>
    <s v="1:12:40"/>
    <x v="49"/>
  </r>
  <r>
    <x v="120"/>
    <x v="1"/>
    <s v="Rullis"/>
    <x v="52"/>
    <s v="Fuji Team"/>
    <s v="1:05:01"/>
    <x v="102"/>
  </r>
  <r>
    <x v="616"/>
    <x v="2"/>
    <s v="Rullis"/>
    <x v="61"/>
    <s v="Apallie"/>
    <s v="1:22:32"/>
    <x v="3"/>
  </r>
  <r>
    <x v="194"/>
    <x v="3"/>
    <s v="Rumaka"/>
    <x v="178"/>
    <s v="Rīga"/>
    <s v="1:38:49"/>
    <x v="135"/>
  </r>
  <r>
    <x v="617"/>
    <x v="3"/>
    <s v="Rūmniece"/>
    <x v="38"/>
    <s v="Viesnīca Santa"/>
    <s v="1:30:08"/>
    <x v="140"/>
  </r>
  <r>
    <x v="88"/>
    <x v="2"/>
    <s v="Rūmnieks"/>
    <x v="333"/>
    <s v=""/>
    <s v="1:02:41"/>
    <x v="43"/>
  </r>
  <r>
    <x v="57"/>
    <x v="1"/>
    <s v="Ruska"/>
    <x v="24"/>
    <s v="Grīziņš"/>
    <s v="1:12:11"/>
    <x v="128"/>
  </r>
  <r>
    <x v="139"/>
    <x v="5"/>
    <s v="Ruska"/>
    <x v="15"/>
    <s v="Grīziņš"/>
    <s v="1:20:53"/>
    <x v="46"/>
  </r>
  <r>
    <x v="159"/>
    <x v="2"/>
    <s v="Rutkis"/>
    <x v="9"/>
    <s v="Reir"/>
    <s v="1:01:40"/>
    <x v="177"/>
  </r>
  <r>
    <x v="106"/>
    <x v="2"/>
    <s v="Rutulis"/>
    <x v="44"/>
    <s v="Veloserviss"/>
    <s v="1:09:52"/>
    <x v="150"/>
  </r>
  <r>
    <x v="48"/>
    <x v="1"/>
    <s v="Sabulis"/>
    <x v="334"/>
    <s v=""/>
    <s v="1:16:47"/>
    <x v="12"/>
  </r>
  <r>
    <x v="38"/>
    <x v="1"/>
    <s v="Sabulis"/>
    <x v="157"/>
    <s v="Sigulda"/>
    <s v="1:18:12"/>
    <x v="74"/>
  </r>
  <r>
    <x v="618"/>
    <x v="2"/>
    <s v="Salenieks"/>
    <x v="22"/>
    <s v="Grods"/>
    <s v="1:59:23"/>
    <x v="0"/>
  </r>
  <r>
    <x v="619"/>
    <x v="2"/>
    <s v="Salijevs"/>
    <x v="6"/>
    <s v="Zumus"/>
    <s v="1:46:53"/>
    <x v="109"/>
  </r>
  <r>
    <x v="620"/>
    <x v="2"/>
    <s v="Salmiņš"/>
    <x v="61"/>
    <s v=""/>
    <s v="1:26:36"/>
    <x v="42"/>
  </r>
  <r>
    <x v="621"/>
    <x v="2"/>
    <s v="Salmiņš"/>
    <x v="92"/>
    <s v=""/>
    <s v="1:20:40"/>
    <x v="51"/>
  </r>
  <r>
    <x v="622"/>
    <x v="2"/>
    <s v="Sanders"/>
    <x v="335"/>
    <s v=""/>
    <s v="1:32:12"/>
    <x v="138"/>
  </r>
  <r>
    <x v="118"/>
    <x v="15"/>
    <s v="Sarkans"/>
    <x v="217"/>
    <s v=""/>
    <s v="1:18:40"/>
    <x v="151"/>
  </r>
  <r>
    <x v="175"/>
    <x v="2"/>
    <s v="Sarma"/>
    <x v="336"/>
    <s v=""/>
    <s v="1:34:34"/>
    <x v="99"/>
  </r>
  <r>
    <x v="176"/>
    <x v="2"/>
    <s v="Sarma"/>
    <x v="337"/>
    <s v=""/>
    <s v="1:43:12"/>
    <x v="66"/>
  </r>
  <r>
    <x v="176"/>
    <x v="3"/>
    <s v="Sarma"/>
    <x v="338"/>
    <s v=""/>
    <s v="1:50:08"/>
    <x v="137"/>
  </r>
  <r>
    <x v="0"/>
    <x v="1"/>
    <s v="Saule"/>
    <x v="129"/>
    <s v="Rīga"/>
    <s v="1:56:58"/>
    <x v="118"/>
  </r>
  <r>
    <x v="159"/>
    <x v="1"/>
    <s v="Saušs"/>
    <x v="131"/>
    <s v=""/>
    <s v="1:06:10"/>
    <x v="44"/>
  </r>
  <r>
    <x v="623"/>
    <x v="2"/>
    <s v="Saušs"/>
    <x v="339"/>
    <s v="Daugavpils"/>
    <s v="1:15:19"/>
    <x v="71"/>
  </r>
  <r>
    <x v="624"/>
    <x v="2"/>
    <s v="Saveļjevs"/>
    <x v="29"/>
    <s v=""/>
    <s v="1:16:59"/>
    <x v="157"/>
  </r>
  <r>
    <x v="625"/>
    <x v="2"/>
    <s v="Savickis"/>
    <x v="9"/>
    <s v="xc.lv"/>
    <s v="1:40:11"/>
    <x v="10"/>
  </r>
  <r>
    <x v="57"/>
    <x v="6"/>
    <s v="Sedlenieks"/>
    <x v="129"/>
    <s v=""/>
    <s v="1:07:51"/>
    <x v="56"/>
  </r>
  <r>
    <x v="38"/>
    <x v="1"/>
    <s v="Segrums"/>
    <x v="114"/>
    <s v="www.247.lv"/>
    <s v="1:17:21"/>
    <x v="94"/>
  </r>
  <r>
    <x v="0"/>
    <x v="1"/>
    <s v="Seilis"/>
    <x v="40"/>
    <s v="Sigulda"/>
    <s v="1:24:04"/>
    <x v="101"/>
  </r>
  <r>
    <x v="89"/>
    <x v="2"/>
    <s v="Seipulis"/>
    <x v="88"/>
    <s v="Ogre"/>
    <s v="1:41:47"/>
    <x v="52"/>
  </r>
  <r>
    <x v="626"/>
    <x v="3"/>
    <s v="Selga"/>
    <x v="340"/>
    <s v="Valka"/>
    <s v="1:12:46"/>
    <x v="49"/>
  </r>
  <r>
    <x v="173"/>
    <x v="0"/>
    <s v="Seļava"/>
    <x v="341"/>
    <s v=""/>
    <s v="2:10:33"/>
    <x v="38"/>
  </r>
  <r>
    <x v="627"/>
    <x v="10"/>
    <s v="Serdants"/>
    <x v="17"/>
    <s v="Kuldīgas sp.sk"/>
    <s v="1:39:16"/>
    <x v="48"/>
  </r>
  <r>
    <x v="53"/>
    <x v="2"/>
    <s v="Serovs"/>
    <x v="10"/>
    <s v="Focus Team"/>
    <s v="1:02:20"/>
    <x v="120"/>
  </r>
  <r>
    <x v="628"/>
    <x v="2"/>
    <s v="Silakalns"/>
    <x v="342"/>
    <s v=""/>
    <s v="1:04:20"/>
    <x v="44"/>
  </r>
  <r>
    <x v="12"/>
    <x v="0"/>
    <s v="Siliņa"/>
    <x v="343"/>
    <s v="Baldone"/>
    <s v="1:56:21"/>
    <x v="105"/>
  </r>
  <r>
    <x v="629"/>
    <x v="3"/>
    <s v="Siliņa"/>
    <x v="109"/>
    <s v=""/>
    <s v="1:36:31"/>
    <x v="154"/>
  </r>
  <r>
    <x v="630"/>
    <x v="3"/>
    <s v="Siliņa"/>
    <x v="196"/>
    <s v="Ulbroka"/>
    <s v="1:22:19"/>
    <x v="108"/>
  </r>
  <r>
    <x v="224"/>
    <x v="2"/>
    <s v="Siliņš"/>
    <x v="78"/>
    <s v="Ulbroka"/>
    <s v="0:57:49"/>
    <x v="139"/>
  </r>
  <r>
    <x v="117"/>
    <x v="13"/>
    <s v="Siliņš"/>
    <x v="35"/>
    <s v="Kuldīgas sporta sk."/>
    <s v="1:14:32"/>
    <x v="55"/>
  </r>
  <r>
    <x v="631"/>
    <x v="2"/>
    <s v="Siliņš"/>
    <x v="160"/>
    <s v=""/>
    <s v="1:12:04"/>
    <x v="39"/>
  </r>
  <r>
    <x v="632"/>
    <x v="2"/>
    <s v="Siliņš"/>
    <x v="169"/>
    <s v=""/>
    <s v="1:35:46"/>
    <x v="30"/>
  </r>
  <r>
    <x v="394"/>
    <x v="1"/>
    <s v="Sīlis"/>
    <x v="44"/>
    <s v="Rīga"/>
    <s v="1:28:00"/>
    <x v="58"/>
  </r>
  <r>
    <x v="73"/>
    <x v="3"/>
    <s v="Silkalna"/>
    <x v="21"/>
    <s v="Ule"/>
    <s v="1:39:07"/>
    <x v="16"/>
  </r>
  <r>
    <x v="53"/>
    <x v="5"/>
    <s v="Sils"/>
    <x v="184"/>
    <s v=""/>
    <s v="1:35:57"/>
    <x v="89"/>
  </r>
  <r>
    <x v="105"/>
    <x v="4"/>
    <s v="Sils"/>
    <x v="49"/>
    <s v=""/>
    <s v="2:07:16"/>
    <x v="18"/>
  </r>
  <r>
    <x v="119"/>
    <x v="2"/>
    <s v="Siminaitis"/>
    <x v="15"/>
    <s v="Elkor sports-author"/>
    <s v="1:02:04"/>
    <x v="6"/>
  </r>
  <r>
    <x v="633"/>
    <x v="2"/>
    <s v="Siminaitis"/>
    <x v="158"/>
    <s v="Elkor sports-author"/>
    <s v="1:00:12"/>
    <x v="114"/>
  </r>
  <r>
    <x v="6"/>
    <x v="5"/>
    <s v="Sinka"/>
    <x v="91"/>
    <s v=""/>
    <s v="1:17:47"/>
    <x v="1"/>
  </r>
  <r>
    <x v="634"/>
    <x v="3"/>
    <s v="Sinka"/>
    <x v="134"/>
    <s v=""/>
    <s v="1:22:52"/>
    <x v="143"/>
  </r>
  <r>
    <x v="635"/>
    <x v="2"/>
    <s v="Sinkevičs"/>
    <x v="19"/>
    <s v="ZZK"/>
    <s v="1:36:37"/>
    <x v="154"/>
  </r>
  <r>
    <x v="636"/>
    <x v="3"/>
    <s v="Sirgeda"/>
    <x v="148"/>
    <s v=""/>
    <s v="1:57:16"/>
    <x v="37"/>
  </r>
  <r>
    <x v="48"/>
    <x v="1"/>
    <s v="Sirmais"/>
    <x v="44"/>
    <s v=""/>
    <s v="1:11:22"/>
    <x v="78"/>
  </r>
  <r>
    <x v="394"/>
    <x v="1"/>
    <s v="Sirmais"/>
    <x v="52"/>
    <s v="Rīga"/>
    <s v="1:19:30"/>
    <x v="98"/>
  </r>
  <r>
    <x v="29"/>
    <x v="2"/>
    <s v="Sirodans"/>
    <x v="254"/>
    <s v="mtb.lv"/>
    <s v="1:12:24"/>
    <x v="22"/>
  </r>
  <r>
    <x v="637"/>
    <x v="2"/>
    <s v="Skadiņš"/>
    <x v="312"/>
    <s v=""/>
    <s v="1:07:40"/>
    <x v="208"/>
  </r>
  <r>
    <x v="207"/>
    <x v="13"/>
    <s v="Skadulis"/>
    <x v="35"/>
    <s v="Spars"/>
    <s v="1:53:57"/>
    <x v="72"/>
  </r>
  <r>
    <x v="80"/>
    <x v="5"/>
    <s v="Skrastiņš"/>
    <x v="28"/>
    <s v=""/>
    <s v="1:19:36"/>
    <x v="98"/>
  </r>
  <r>
    <x v="638"/>
    <x v="2"/>
    <s v="Skrastiņš"/>
    <x v="39"/>
    <s v=""/>
    <s v="1:52:21"/>
    <x v="170"/>
  </r>
  <r>
    <x v="639"/>
    <x v="2"/>
    <s v="Skrastiņš"/>
    <x v="344"/>
    <s v="Veloserviss"/>
    <s v="1:22:31"/>
    <x v="3"/>
  </r>
  <r>
    <x v="640"/>
    <x v="2"/>
    <s v="Skrastiņš"/>
    <x v="55"/>
    <s v="Veloserviss"/>
    <s v="1:03:04"/>
    <x v="102"/>
  </r>
  <r>
    <x v="70"/>
    <x v="1"/>
    <s v="Skrebels"/>
    <x v="6"/>
    <s v=""/>
    <s v="1:21:27"/>
    <x v="107"/>
  </r>
  <r>
    <x v="641"/>
    <x v="2"/>
    <s v="Skridulis"/>
    <x v="90"/>
    <s v=""/>
    <s v="1:36:58"/>
    <x v="60"/>
  </r>
  <r>
    <x v="642"/>
    <x v="2"/>
    <s v="Skripijs"/>
    <x v="47"/>
    <s v=""/>
    <s v="1:30:40"/>
    <x v="34"/>
  </r>
  <r>
    <x v="158"/>
    <x v="1"/>
    <s v="Skrodelis"/>
    <x v="67"/>
    <s v="Smiltene"/>
    <s v="1:09:35"/>
    <x v="208"/>
  </r>
  <r>
    <x v="643"/>
    <x v="2"/>
    <s v="Skudra"/>
    <x v="78"/>
    <s v="karters.lv"/>
    <s v="1:45:28"/>
    <x v="146"/>
  </r>
  <r>
    <x v="644"/>
    <x v="3"/>
    <s v="Skudra"/>
    <x v="124"/>
    <s v=""/>
    <s v="1:32:11"/>
    <x v="138"/>
  </r>
  <r>
    <x v="645"/>
    <x v="10"/>
    <s v="Skuja"/>
    <x v="2"/>
    <s v="MSĢ"/>
    <s v="1:38:50"/>
    <x v="35"/>
  </r>
  <r>
    <x v="646"/>
    <x v="2"/>
    <s v="Skuja"/>
    <x v="15"/>
    <s v="R/a 2 koki u.c. Zvēri"/>
    <s v="1:32:15"/>
    <x v="138"/>
  </r>
  <r>
    <x v="647"/>
    <x v="3"/>
    <s v="Skujiņa"/>
    <x v="70"/>
    <s v="Frukawa"/>
    <s v="1:25:26"/>
    <x v="58"/>
  </r>
  <r>
    <x v="117"/>
    <x v="13"/>
    <s v="Skujiņš"/>
    <x v="54"/>
    <s v="Kuldīgas sporta sk."/>
    <s v="1:15:43"/>
    <x v="17"/>
  </r>
  <r>
    <x v="648"/>
    <x v="2"/>
    <s v="Skujiņš"/>
    <x v="74"/>
    <s v="Frukava"/>
    <s v="1:02:11"/>
    <x v="90"/>
  </r>
  <r>
    <x v="172"/>
    <x v="5"/>
    <s v="Skutelis"/>
    <x v="88"/>
    <s v="ZZK"/>
    <s v="1:05:45"/>
    <x v="77"/>
  </r>
  <r>
    <x v="649"/>
    <x v="2"/>
    <s v="Slēži"/>
    <x v="1"/>
    <s v="VIC velokurjers"/>
    <s v="1:08:34"/>
    <x v="29"/>
  </r>
  <r>
    <x v="650"/>
    <x v="2"/>
    <s v="Slišāns"/>
    <x v="51"/>
    <s v="Ogre"/>
    <s v="1:07:35"/>
    <x v="208"/>
  </r>
  <r>
    <x v="651"/>
    <x v="2"/>
    <s v="Slivjančuks"/>
    <x v="242"/>
    <s v="Zumus"/>
    <s v="1:08:35"/>
    <x v="29"/>
  </r>
  <r>
    <x v="48"/>
    <x v="15"/>
    <s v="Sloka"/>
    <x v="15"/>
    <s v="Grīziņš"/>
    <s v="1:22:44"/>
    <x v="195"/>
  </r>
  <r>
    <x v="146"/>
    <x v="2"/>
    <s v="Smildziņš"/>
    <x v="28"/>
    <s v="Zeņģis Racing Team"/>
    <s v="1:09:44"/>
    <x v="194"/>
  </r>
  <r>
    <x v="64"/>
    <x v="4"/>
    <s v="Smirnovs"/>
    <x v="15"/>
    <s v="NN-Marss"/>
    <s v="0:59:40"/>
    <x v="126"/>
  </r>
  <r>
    <x v="184"/>
    <x v="15"/>
    <s v="Smoļins"/>
    <x v="310"/>
    <s v="NN-Marss"/>
    <s v="1:07:01"/>
    <x v="229"/>
  </r>
  <r>
    <x v="652"/>
    <x v="8"/>
    <s v="Smukulis"/>
    <x v="7"/>
    <s v="Rietumu Banka"/>
    <s v="1:34:44"/>
    <x v="233"/>
  </r>
  <r>
    <x v="9"/>
    <x v="0"/>
    <s v="Sniedze"/>
    <x v="345"/>
    <s v="Grifs AG"/>
    <s v="1:44:48"/>
    <x v="52"/>
  </r>
  <r>
    <x v="653"/>
    <x v="3"/>
    <s v="Sniķere"/>
    <x v="346"/>
    <s v="Reir"/>
    <s v="1:24:51"/>
    <x v="179"/>
  </r>
  <r>
    <x v="117"/>
    <x v="2"/>
    <s v="Sniķeris"/>
    <x v="20"/>
    <s v="Reir"/>
    <s v="1:03:26"/>
    <x v="227"/>
  </r>
  <r>
    <x v="654"/>
    <x v="2"/>
    <s v="Sokolovskis"/>
    <x v="22"/>
    <s v="Kuldīga"/>
    <s v="1:03:13"/>
    <x v="102"/>
  </r>
  <r>
    <x v="76"/>
    <x v="0"/>
    <s v="Solnceva"/>
    <x v="203"/>
    <s v="Turaida"/>
    <s v="1:40:27"/>
    <x v="225"/>
  </r>
  <r>
    <x v="12"/>
    <x v="5"/>
    <s v="Sondors"/>
    <x v="50"/>
    <s v="ZZK"/>
    <s v="1:09:35"/>
    <x v="208"/>
  </r>
  <r>
    <x v="136"/>
    <x v="2"/>
    <s v="Sorokins"/>
    <x v="210"/>
    <s v=""/>
    <s v="0:57:05"/>
    <x v="232"/>
  </r>
  <r>
    <x v="62"/>
    <x v="3"/>
    <s v="Soste"/>
    <x v="347"/>
    <s v="Sigulda"/>
    <s v="1:26:56"/>
    <x v="192"/>
  </r>
  <r>
    <x v="245"/>
    <x v="2"/>
    <s v="Spalviņš"/>
    <x v="67"/>
    <s v=""/>
    <s v="1:36:14"/>
    <x v="59"/>
  </r>
  <r>
    <x v="655"/>
    <x v="2"/>
    <s v="Spalviņš"/>
    <x v="99"/>
    <s v=""/>
    <s v="1:10:32"/>
    <x v="198"/>
  </r>
  <r>
    <x v="656"/>
    <x v="2"/>
    <s v="Spalviņš"/>
    <x v="22"/>
    <s v=""/>
    <s v="1:15:26"/>
    <x v="71"/>
  </r>
  <r>
    <x v="657"/>
    <x v="2"/>
    <s v="Spigovskis"/>
    <x v="23"/>
    <s v=""/>
    <s v="1:15:45"/>
    <x v="1"/>
  </r>
  <r>
    <x v="97"/>
    <x v="1"/>
    <s v="Splīte"/>
    <x v="49"/>
    <s v="Splīte"/>
    <s v="1:18:21"/>
    <x v="196"/>
  </r>
  <r>
    <x v="97"/>
    <x v="6"/>
    <s v="Splīte"/>
    <x v="19"/>
    <s v="Splīte"/>
    <s v="1:13:50"/>
    <x v="92"/>
  </r>
  <r>
    <x v="658"/>
    <x v="3"/>
    <s v="Splīte"/>
    <x v="43"/>
    <s v="Splīte"/>
    <s v="1:24:14"/>
    <x v="122"/>
  </r>
  <r>
    <x v="659"/>
    <x v="2"/>
    <s v="Spoģis"/>
    <x v="19"/>
    <s v=""/>
    <s v="1:19:57"/>
    <x v="162"/>
  </r>
  <r>
    <x v="209"/>
    <x v="3"/>
    <s v="Spriesle"/>
    <x v="195"/>
    <s v="Bensons Auto"/>
    <s v="1:37:45"/>
    <x v="212"/>
  </r>
  <r>
    <x v="132"/>
    <x v="1"/>
    <s v="Sprūds"/>
    <x v="15"/>
    <s v=""/>
    <s v="1:15:51"/>
    <x v="45"/>
  </r>
  <r>
    <x v="29"/>
    <x v="3"/>
    <s v="Sprukule"/>
    <x v="348"/>
    <s v="Zariņi"/>
    <s v="1:43:52"/>
    <x v="69"/>
  </r>
  <r>
    <x v="29"/>
    <x v="2"/>
    <s v="Sprukulis"/>
    <x v="349"/>
    <s v="Zariņi"/>
    <s v="1:18:12"/>
    <x v="84"/>
  </r>
  <r>
    <x v="660"/>
    <x v="7"/>
    <s v="Spūlis"/>
    <x v="15"/>
    <s v="Komin"/>
    <s v="1:59:04"/>
    <x v="234"/>
  </r>
  <r>
    <x v="661"/>
    <x v="2"/>
    <s v="Spūlis"/>
    <x v="350"/>
    <s v=""/>
    <s v="1:13:59"/>
    <x v="152"/>
  </r>
  <r>
    <x v="662"/>
    <x v="3"/>
    <s v="Spulle"/>
    <x v="212"/>
    <s v="&quot;Projekts Pēdas&quot;"/>
    <s v="1:20:47"/>
    <x v="4"/>
  </r>
  <r>
    <x v="663"/>
    <x v="3"/>
    <s v="Spulle"/>
    <x v="117"/>
    <s v="&quot;Projekts Pēdas&quot;"/>
    <s v="1:42:58"/>
    <x v="66"/>
  </r>
  <r>
    <x v="664"/>
    <x v="2"/>
    <s v="Stabulnieks"/>
    <x v="76"/>
    <s v="Mālpils"/>
    <s v="1:14:29"/>
    <x v="12"/>
  </r>
  <r>
    <x v="665"/>
    <x v="2"/>
    <s v="Stalis"/>
    <x v="351"/>
    <s v=""/>
    <s v="1:47:01"/>
    <x v="109"/>
  </r>
  <r>
    <x v="666"/>
    <x v="11"/>
    <s v="Starotonenko"/>
    <x v="10"/>
    <s v="Latvello"/>
    <s v="2:15:52"/>
    <x v="31"/>
  </r>
  <r>
    <x v="83"/>
    <x v="2"/>
    <s v="Staškēvics"/>
    <x v="352"/>
    <s v="Rīga"/>
    <s v="1:22:37"/>
    <x v="3"/>
  </r>
  <r>
    <x v="667"/>
    <x v="2"/>
    <s v="Stašulis"/>
    <x v="7"/>
    <s v="Bieriņi"/>
    <s v="1:16:44"/>
    <x v="14"/>
  </r>
  <r>
    <x v="668"/>
    <x v="2"/>
    <s v="Stašulis"/>
    <x v="6"/>
    <s v="Bieriņi"/>
    <s v="1:17:23"/>
    <x v="98"/>
  </r>
  <r>
    <x v="9"/>
    <x v="5"/>
    <s v="Stelps"/>
    <x v="62"/>
    <s v="Bosch"/>
    <s v="1:15:26"/>
    <x v="93"/>
  </r>
  <r>
    <x v="9"/>
    <x v="5"/>
    <s v="Stelps"/>
    <x v="240"/>
    <s v="Bosch"/>
    <s v="1:14:21"/>
    <x v="22"/>
  </r>
  <r>
    <x v="93"/>
    <x v="5"/>
    <s v="Stepens"/>
    <x v="353"/>
    <s v="Latvello"/>
    <s v="1:39:58"/>
    <x v="60"/>
  </r>
  <r>
    <x v="669"/>
    <x v="2"/>
    <s v="Stephens"/>
    <x v="354"/>
    <s v=""/>
    <s v="1:48:40"/>
    <x v="144"/>
  </r>
  <r>
    <x v="670"/>
    <x v="2"/>
    <s v="Stepka"/>
    <x v="19"/>
    <s v=""/>
    <s v="1:14:26"/>
    <x v="111"/>
  </r>
  <r>
    <x v="671"/>
    <x v="3"/>
    <s v="Stepka"/>
    <x v="109"/>
    <s v=""/>
    <s v="1:21:04"/>
    <x v="4"/>
  </r>
  <r>
    <x v="672"/>
    <x v="3"/>
    <s v="Stīpiņa"/>
    <x v="43"/>
    <s v="ZZK"/>
    <s v="1:26:59"/>
    <x v="192"/>
  </r>
  <r>
    <x v="140"/>
    <x v="13"/>
    <s v="Stonis"/>
    <x v="19"/>
    <s v="Dunalka-Kuldīgas sp.sk"/>
    <s v="1:15:44"/>
    <x v="17"/>
  </r>
  <r>
    <x v="673"/>
    <x v="3"/>
    <s v="Stračinska"/>
    <x v="195"/>
    <s v="Valmiera"/>
    <s v="1:28:41"/>
    <x v="25"/>
  </r>
  <r>
    <x v="674"/>
    <x v="2"/>
    <s v="Stračinskis"/>
    <x v="355"/>
    <s v="Valmiera"/>
    <s v="1:11:20"/>
    <x v="83"/>
  </r>
  <r>
    <x v="64"/>
    <x v="1"/>
    <s v="Strads"/>
    <x v="356"/>
    <s v="MSĢ"/>
    <s v="1:02:54"/>
    <x v="199"/>
  </r>
  <r>
    <x v="675"/>
    <x v="3"/>
    <s v="Strakša"/>
    <x v="357"/>
    <s v=""/>
    <s v="1:21:32"/>
    <x v="95"/>
  </r>
  <r>
    <x v="676"/>
    <x v="2"/>
    <s v="Strakšas"/>
    <x v="88"/>
    <s v=""/>
    <s v="1:19:32"/>
    <x v="85"/>
  </r>
  <r>
    <x v="677"/>
    <x v="2"/>
    <s v="Strangats"/>
    <x v="218"/>
    <s v="&quot;Projekts Pēdas&quot;"/>
    <s v="1:19:00"/>
    <x v="107"/>
  </r>
  <r>
    <x v="678"/>
    <x v="3"/>
    <s v="Straume"/>
    <x v="348"/>
    <s v=""/>
    <s v="1:39:52"/>
    <x v="11"/>
  </r>
  <r>
    <x v="679"/>
    <x v="2"/>
    <s v="Straupe"/>
    <x v="358"/>
    <s v="Ceļu Projekts"/>
    <s v="1:03:07"/>
    <x v="102"/>
  </r>
  <r>
    <x v="100"/>
    <x v="2"/>
    <s v="Strauss"/>
    <x v="39"/>
    <s v="Woodline"/>
    <s v="1:15:41"/>
    <x v="1"/>
  </r>
  <r>
    <x v="182"/>
    <x v="0"/>
    <s v="Strazdiņa"/>
    <x v="359"/>
    <s v="Superior"/>
    <s v="1:45:57"/>
    <x v="66"/>
  </r>
  <r>
    <x v="24"/>
    <x v="1"/>
    <s v="Strazdiņš"/>
    <x v="15"/>
    <s v=""/>
    <s v="1:55:33"/>
    <x v="170"/>
  </r>
  <r>
    <x v="680"/>
    <x v="2"/>
    <s v="Strēle"/>
    <x v="29"/>
    <s v=""/>
    <s v="1:03:15"/>
    <x v="102"/>
  </r>
  <r>
    <x v="13"/>
    <x v="1"/>
    <s v="Strēlnieks"/>
    <x v="2"/>
    <s v="Valmiera"/>
    <s v="1:24:54"/>
    <x v="3"/>
  </r>
  <r>
    <x v="681"/>
    <x v="2"/>
    <s v="Strupis"/>
    <x v="113"/>
    <s v=""/>
    <s v="1:06:12"/>
    <x v="209"/>
  </r>
  <r>
    <x v="682"/>
    <x v="2"/>
    <s v="Studāns"/>
    <x v="40"/>
    <s v=""/>
    <s v="1:14:02"/>
    <x v="152"/>
  </r>
  <r>
    <x v="164"/>
    <x v="4"/>
    <s v="Stukuls"/>
    <x v="102"/>
    <s v="Kuldīgas sporta sk."/>
    <s v="1:07:27"/>
    <x v="97"/>
  </r>
  <r>
    <x v="683"/>
    <x v="2"/>
    <s v="Stupins"/>
    <x v="137"/>
    <s v=""/>
    <s v="1:07:55"/>
    <x v="91"/>
  </r>
  <r>
    <x v="684"/>
    <x v="2"/>
    <s v="Stupins"/>
    <x v="60"/>
    <s v=""/>
    <s v="1:31:19"/>
    <x v="124"/>
  </r>
  <r>
    <x v="685"/>
    <x v="2"/>
    <s v="Stupins"/>
    <x v="191"/>
    <s v=""/>
    <s v="1:23:50"/>
    <x v="88"/>
  </r>
  <r>
    <x v="67"/>
    <x v="2"/>
    <s v="Stūrmanis"/>
    <x v="360"/>
    <s v="Rīga"/>
    <s v="1:57:43"/>
    <x v="141"/>
  </r>
  <r>
    <x v="85"/>
    <x v="1"/>
    <s v="Stūrmanis"/>
    <x v="44"/>
    <s v=""/>
    <s v="1:57:43"/>
    <x v="187"/>
  </r>
  <r>
    <x v="686"/>
    <x v="2"/>
    <s v="Suharevs"/>
    <x v="361"/>
    <s v=""/>
    <s v="1:08:32"/>
    <x v="29"/>
  </r>
  <r>
    <x v="687"/>
    <x v="2"/>
    <s v="Sūna"/>
    <x v="39"/>
    <s v="SK Vidzeme"/>
    <s v="1:10:58"/>
    <x v="123"/>
  </r>
  <r>
    <x v="688"/>
    <x v="3"/>
    <s v="Sundukova"/>
    <x v="111"/>
    <s v=""/>
    <s v="1:30:18"/>
    <x v="140"/>
  </r>
  <r>
    <x v="175"/>
    <x v="2"/>
    <s v="Supe"/>
    <x v="74"/>
    <s v=""/>
    <s v="1:29:16"/>
    <x v="70"/>
  </r>
  <r>
    <x v="48"/>
    <x v="6"/>
    <s v="Surgunts"/>
    <x v="141"/>
    <s v=""/>
    <s v="1:24:34"/>
    <x v="108"/>
  </r>
  <r>
    <x v="689"/>
    <x v="2"/>
    <s v="Suvorovs"/>
    <x v="10"/>
    <s v=""/>
    <s v="1:18:16"/>
    <x v="84"/>
  </r>
  <r>
    <x v="24"/>
    <x v="2"/>
    <s v="Sviščš"/>
    <x v="362"/>
    <s v="mtb.lv"/>
    <s v="1:00:16"/>
    <x v="114"/>
  </r>
  <r>
    <x v="23"/>
    <x v="4"/>
    <s v="Šāblis"/>
    <x v="88"/>
    <s v="People"/>
    <s v="1:19:50"/>
    <x v="26"/>
  </r>
  <r>
    <x v="690"/>
    <x v="2"/>
    <s v="Šalts"/>
    <x v="65"/>
    <s v=""/>
    <s v="1:14:12"/>
    <x v="152"/>
  </r>
  <r>
    <x v="691"/>
    <x v="2"/>
    <s v="Šapiro"/>
    <x v="6"/>
    <s v="Ondulat"/>
    <s v="1:36:32"/>
    <x v="154"/>
  </r>
  <r>
    <x v="132"/>
    <x v="1"/>
    <s v="Šarākovs"/>
    <x v="1"/>
    <s v="Focus Saulkrasti"/>
    <s v="1:06:46"/>
    <x v="155"/>
  </r>
  <r>
    <x v="176"/>
    <x v="3"/>
    <s v="Šarova"/>
    <x v="320"/>
    <s v=""/>
    <s v="1:34:35"/>
    <x v="99"/>
  </r>
  <r>
    <x v="692"/>
    <x v="3"/>
    <s v="Šāvēja"/>
    <x v="363"/>
    <s v=""/>
    <s v="1:26:38"/>
    <x v="42"/>
  </r>
  <r>
    <x v="693"/>
    <x v="3"/>
    <s v="Šāvēja"/>
    <x v="43"/>
    <s v=""/>
    <s v="1:32:25"/>
    <x v="138"/>
  </r>
  <r>
    <x v="57"/>
    <x v="1"/>
    <s v="Šāvējs"/>
    <x v="49"/>
    <s v="Talsi"/>
    <s v="1:06:01"/>
    <x v="184"/>
  </r>
  <r>
    <x v="24"/>
    <x v="14"/>
    <s v="Šāvējs"/>
    <x v="19"/>
    <s v=""/>
    <s v="1:51:52"/>
    <x v="144"/>
  </r>
  <r>
    <x v="694"/>
    <x v="2"/>
    <s v="Šelušenkovs"/>
    <x v="364"/>
    <s v="Zumus"/>
    <s v="1:08:35"/>
    <x v="29"/>
  </r>
  <r>
    <x v="695"/>
    <x v="2"/>
    <s v="Ševčenko"/>
    <x v="146"/>
    <s v=""/>
    <s v="1:35:21"/>
    <x v="47"/>
  </r>
  <r>
    <x v="696"/>
    <x v="3"/>
    <s v="Šica"/>
    <x v="148"/>
    <s v="Krimuldas vsk."/>
    <s v="1:29:01"/>
    <x v="70"/>
  </r>
  <r>
    <x v="51"/>
    <x v="3"/>
    <s v="Šīmane"/>
    <x v="36"/>
    <s v="Bensons Auto"/>
    <s v="1:37:52"/>
    <x v="212"/>
  </r>
  <r>
    <x v="140"/>
    <x v="1"/>
    <s v="Šinka"/>
    <x v="92"/>
    <s v=""/>
    <s v="1:18:47"/>
    <x v="151"/>
  </r>
  <r>
    <x v="141"/>
    <x v="1"/>
    <s v="Škapars"/>
    <x v="78"/>
    <s v="Hansabanka"/>
    <s v="1:08:51"/>
    <x v="182"/>
  </r>
  <r>
    <x v="697"/>
    <x v="2"/>
    <s v="Škņarovs"/>
    <x v="204"/>
    <s v="Elkor sports-author"/>
    <s v="1:04:53"/>
    <x v="155"/>
  </r>
  <r>
    <x v="88"/>
    <x v="15"/>
    <s v="Šķeperis"/>
    <x v="19"/>
    <s v="Veloserviss"/>
    <s v="1:06:13"/>
    <x v="44"/>
  </r>
  <r>
    <x v="698"/>
    <x v="2"/>
    <s v="Šķeperis"/>
    <x v="61"/>
    <s v="Veloserviss"/>
    <s v="1:15:01"/>
    <x v="94"/>
  </r>
  <r>
    <x v="394"/>
    <x v="1"/>
    <s v="Šķēps"/>
    <x v="67"/>
    <s v="Raimaks"/>
    <s v="1:20:23"/>
    <x v="84"/>
  </r>
  <r>
    <x v="119"/>
    <x v="0"/>
    <s v="Šķobe"/>
    <x v="0"/>
    <s v="Rīga"/>
    <s v="1:58:26"/>
    <x v="50"/>
  </r>
  <r>
    <x v="699"/>
    <x v="2"/>
    <s v="Šmerliņš"/>
    <x v="160"/>
    <s v=""/>
    <s v="1:10:02"/>
    <x v="128"/>
  </r>
  <r>
    <x v="67"/>
    <x v="2"/>
    <s v="Šmits"/>
    <x v="9"/>
    <s v="Rīga"/>
    <s v="1:35:14"/>
    <x v="47"/>
  </r>
  <r>
    <x v="6"/>
    <x v="5"/>
    <s v="Šmits"/>
    <x v="39"/>
    <s v="Nikari"/>
    <s v="1:21:10"/>
    <x v="79"/>
  </r>
  <r>
    <x v="700"/>
    <x v="2"/>
    <s v="Šmits"/>
    <x v="147"/>
    <s v="Krimuldas vsk."/>
    <s v="1:03:47"/>
    <x v="9"/>
  </r>
  <r>
    <x v="701"/>
    <x v="2"/>
    <s v="Šmits"/>
    <x v="175"/>
    <s v=""/>
    <s v="1:23:24"/>
    <x v="86"/>
  </r>
  <r>
    <x v="702"/>
    <x v="2"/>
    <s v="Šmits"/>
    <x v="129"/>
    <s v="Krimuldas vsk."/>
    <s v="1:12:40"/>
    <x v="49"/>
  </r>
  <r>
    <x v="703"/>
    <x v="2"/>
    <s v="Šmits"/>
    <x v="66"/>
    <s v="Krimuldas vsk."/>
    <s v="1:20:57"/>
    <x v="4"/>
  </r>
  <r>
    <x v="704"/>
    <x v="2"/>
    <s v="Štāls"/>
    <x v="35"/>
    <s v=""/>
    <s v="1:10:15"/>
    <x v="19"/>
  </r>
  <r>
    <x v="705"/>
    <x v="3"/>
    <s v="Šteinberga"/>
    <x v="100"/>
    <s v=""/>
    <s v="1:14:35"/>
    <x v="12"/>
  </r>
  <r>
    <x v="706"/>
    <x v="3"/>
    <s v="Šteinberga"/>
    <x v="345"/>
    <s v=""/>
    <s v="1:41:44"/>
    <x v="52"/>
  </r>
  <r>
    <x v="159"/>
    <x v="1"/>
    <s v="Šteinbergs"/>
    <x v="251"/>
    <s v="Salaspils"/>
    <s v="1:17:52"/>
    <x v="1"/>
  </r>
  <r>
    <x v="707"/>
    <x v="2"/>
    <s v="Šteinbergs"/>
    <x v="88"/>
    <s v=""/>
    <s v="1:22:31"/>
    <x v="3"/>
  </r>
  <r>
    <x v="708"/>
    <x v="2"/>
    <s v="Šterns"/>
    <x v="78"/>
    <s v="Hansabanka"/>
    <s v="1:15:49"/>
    <x v="74"/>
  </r>
  <r>
    <x v="709"/>
    <x v="2"/>
    <s v="Štrāls"/>
    <x v="115"/>
    <s v=""/>
    <s v="1:13:18"/>
    <x v="93"/>
  </r>
  <r>
    <x v="710"/>
    <x v="2"/>
    <s v="Štrauhmanis"/>
    <x v="44"/>
    <s v=""/>
    <s v="1:06:48"/>
    <x v="176"/>
  </r>
  <r>
    <x v="64"/>
    <x v="1"/>
    <s v="Šuksts"/>
    <x v="62"/>
    <s v="Trek Philips"/>
    <s v="1:03:52"/>
    <x v="6"/>
  </r>
  <r>
    <x v="120"/>
    <x v="0"/>
    <s v="Šulce-Grante"/>
    <x v="41"/>
    <s v=""/>
    <s v="1:28:18"/>
    <x v="112"/>
  </r>
  <r>
    <x v="38"/>
    <x v="1"/>
    <s v="Šulckis"/>
    <x v="9"/>
    <s v="Rīga"/>
    <s v="1:16:37"/>
    <x v="12"/>
  </r>
  <r>
    <x v="711"/>
    <x v="2"/>
    <s v="Šulcs"/>
    <x v="223"/>
    <s v="&quot;Projekts Pēdas&quot;"/>
    <s v="1:19:33"/>
    <x v="73"/>
  </r>
  <r>
    <x v="712"/>
    <x v="2"/>
    <s v="Šulcs"/>
    <x v="91"/>
    <s v="Otrā elpa"/>
    <s v="1:24:09"/>
    <x v="122"/>
  </r>
  <r>
    <x v="713"/>
    <x v="2"/>
    <s v="Šulmanis"/>
    <x v="365"/>
    <s v=""/>
    <s v="1:28:09"/>
    <x v="62"/>
  </r>
  <r>
    <x v="714"/>
    <x v="2"/>
    <s v="Šulmanis"/>
    <x v="11"/>
    <s v=""/>
    <s v="1:30:06"/>
    <x v="205"/>
  </r>
  <r>
    <x v="6"/>
    <x v="1"/>
    <s v="Šūlmeistars"/>
    <x v="92"/>
    <s v="Cēsis"/>
    <s v="1:15:14"/>
    <x v="96"/>
  </r>
  <r>
    <x v="715"/>
    <x v="3"/>
    <s v="Šuvarkova"/>
    <x v="286"/>
    <s v="Ceļu Projekts"/>
    <s v="1:23:25"/>
    <x v="86"/>
  </r>
  <r>
    <x v="716"/>
    <x v="2"/>
    <s v="Tabors"/>
    <x v="113"/>
    <s v=""/>
    <s v="1:29:07"/>
    <x v="70"/>
  </r>
  <r>
    <x v="717"/>
    <x v="2"/>
    <s v="Talcis"/>
    <x v="14"/>
    <s v=""/>
    <s v="1:04:17"/>
    <x v="44"/>
  </r>
  <r>
    <x v="718"/>
    <x v="2"/>
    <s v="Talcis"/>
    <x v="131"/>
    <s v=""/>
    <s v="1:07:25"/>
    <x v="41"/>
  </r>
  <r>
    <x v="719"/>
    <x v="12"/>
    <s v="Tamanis"/>
    <x v="33"/>
    <s v="Daugavpils"/>
    <s v="1:39:08"/>
    <x v="48"/>
  </r>
  <r>
    <x v="23"/>
    <x v="1"/>
    <s v="Tarans"/>
    <x v="33"/>
    <s v="People"/>
    <s v="1:21:41"/>
    <x v="85"/>
  </r>
  <r>
    <x v="720"/>
    <x v="3"/>
    <s v="Tarāsova"/>
    <x v="207"/>
    <s v="Eži"/>
    <s v="1:13:41"/>
    <x v="17"/>
  </r>
  <r>
    <x v="57"/>
    <x v="1"/>
    <s v="Tarasovs"/>
    <x v="159"/>
    <s v="Madona"/>
    <s v="1:10:10"/>
    <x v="206"/>
  </r>
  <r>
    <x v="0"/>
    <x v="0"/>
    <s v="Taupmane"/>
    <x v="139"/>
    <s v=""/>
    <s v="1:49:50"/>
    <x v="109"/>
  </r>
  <r>
    <x v="721"/>
    <x v="2"/>
    <s v="Tauriņš"/>
    <x v="115"/>
    <s v=""/>
    <s v="1:41:47"/>
    <x v="52"/>
  </r>
  <r>
    <x v="722"/>
    <x v="2"/>
    <s v="Tauriņš"/>
    <x v="24"/>
    <s v=""/>
    <s v="1:28:51"/>
    <x v="25"/>
  </r>
  <r>
    <x v="723"/>
    <x v="2"/>
    <s v="Teibe"/>
    <x v="40"/>
    <s v="Ogre"/>
    <s v="1:10:57"/>
    <x v="123"/>
  </r>
  <r>
    <x v="724"/>
    <x v="2"/>
    <s v="Teibe"/>
    <x v="66"/>
    <s v="Ogre"/>
    <s v="1:18:26"/>
    <x v="46"/>
  </r>
  <r>
    <x v="725"/>
    <x v="2"/>
    <s v="Teirlynck"/>
    <x v="366"/>
    <s v=""/>
    <s v="2:02:35"/>
    <x v="183"/>
  </r>
  <r>
    <x v="726"/>
    <x v="10"/>
    <s v="Temnovs"/>
    <x v="54"/>
    <s v="Fuji Team"/>
    <s v="1:39:10"/>
    <x v="48"/>
  </r>
  <r>
    <x v="354"/>
    <x v="1"/>
    <s v="Terinks"/>
    <x v="54"/>
    <s v="Grifs AG"/>
    <s v="1:23:46"/>
    <x v="95"/>
  </r>
  <r>
    <x v="727"/>
    <x v="2"/>
    <s v="Teteris"/>
    <x v="82"/>
    <s v="Santeko"/>
    <s v="1:12:11"/>
    <x v="22"/>
  </r>
  <r>
    <x v="65"/>
    <x v="2"/>
    <s v="Tihonovs"/>
    <x v="10"/>
    <s v="Rīga"/>
    <s v="1:16:59"/>
    <x v="157"/>
  </r>
  <r>
    <x v="13"/>
    <x v="1"/>
    <s v="Tīlišķis"/>
    <x v="22"/>
    <s v="Big Team"/>
    <s v="1:18:46"/>
    <x v="151"/>
  </r>
  <r>
    <x v="198"/>
    <x v="2"/>
    <s v="Timofejevs"/>
    <x v="242"/>
    <s v="Sigulda"/>
    <s v="1:17:17"/>
    <x v="98"/>
  </r>
  <r>
    <x v="728"/>
    <x v="3"/>
    <s v="Tīruma"/>
    <x v="178"/>
    <s v="Viesnīca Santa"/>
    <s v="1:12:53"/>
    <x v="49"/>
  </r>
  <r>
    <x v="729"/>
    <x v="3"/>
    <s v="Tīruma"/>
    <x v="257"/>
    <s v="Viesnīca Santa"/>
    <s v="1:43:51"/>
    <x v="69"/>
  </r>
  <r>
    <x v="120"/>
    <x v="14"/>
    <s v="Tjarve"/>
    <x v="204"/>
    <s v=""/>
    <s v="1:25:52"/>
    <x v="86"/>
  </r>
  <r>
    <x v="83"/>
    <x v="3"/>
    <s v="Tola"/>
    <x v="245"/>
    <s v="Hansabanka"/>
    <s v="2:06:09"/>
    <x v="188"/>
  </r>
  <r>
    <x v="730"/>
    <x v="2"/>
    <s v="Tols"/>
    <x v="278"/>
    <s v=""/>
    <s v="1:58:31"/>
    <x v="142"/>
  </r>
  <r>
    <x v="172"/>
    <x v="5"/>
    <s v="Tomsons"/>
    <x v="367"/>
    <s v="Fotolukss"/>
    <s v="1:03:22"/>
    <x v="177"/>
  </r>
  <r>
    <x v="80"/>
    <x v="13"/>
    <s v="Tomsons"/>
    <x v="55"/>
    <s v="Fotolukss"/>
    <s v="1:15:49"/>
    <x v="45"/>
  </r>
  <r>
    <x v="70"/>
    <x v="13"/>
    <s v="Tomševics"/>
    <x v="147"/>
    <s v=""/>
    <s v="1:41:47"/>
    <x v="135"/>
  </r>
  <r>
    <x v="70"/>
    <x v="5"/>
    <s v="Tomševics"/>
    <x v="368"/>
    <s v=""/>
    <s v="1:14:25"/>
    <x v="22"/>
  </r>
  <r>
    <x v="731"/>
    <x v="2"/>
    <s v="Toomingas"/>
    <x v="369"/>
    <s v="NCC Konstrukcijas"/>
    <s v="1:15:40"/>
    <x v="1"/>
  </r>
  <r>
    <x v="170"/>
    <x v="0"/>
    <s v="Traniņa"/>
    <x v="87"/>
    <s v="NBS Sporta klubs"/>
    <s v="1:28:06"/>
    <x v="58"/>
  </r>
  <r>
    <x v="732"/>
    <x v="3"/>
    <s v="Trautmane"/>
    <x v="370"/>
    <s v="Ventspils"/>
    <s v="1:34:45"/>
    <x v="67"/>
  </r>
  <r>
    <x v="733"/>
    <x v="8"/>
    <s v="Trautmanis"/>
    <x v="52"/>
    <s v="Ventspils"/>
    <s v="1:37:38"/>
    <x v="36"/>
  </r>
  <r>
    <x v="734"/>
    <x v="2"/>
    <s v="Trautmanis"/>
    <x v="14"/>
    <s v="Ventspils"/>
    <s v="1:23:40"/>
    <x v="88"/>
  </r>
  <r>
    <x v="735"/>
    <x v="3"/>
    <s v="Treimane"/>
    <x v="124"/>
    <s v="&quot;Projekts Pēdas&quot;"/>
    <s v="1:36:03"/>
    <x v="59"/>
  </r>
  <r>
    <x v="62"/>
    <x v="2"/>
    <s v="Trifānovs"/>
    <x v="339"/>
    <s v="Sigulda"/>
    <s v="1:23:14"/>
    <x v="7"/>
  </r>
  <r>
    <x v="736"/>
    <x v="7"/>
    <s v="Trofimovs"/>
    <x v="60"/>
    <s v="Latvello"/>
    <s v="1:39:30"/>
    <x v="163"/>
  </r>
  <r>
    <x v="0"/>
    <x v="2"/>
    <s v="Trojonovs"/>
    <x v="33"/>
    <s v="Elkor sports-author"/>
    <s v="1:17:04"/>
    <x v="157"/>
  </r>
  <r>
    <x v="737"/>
    <x v="2"/>
    <s v="Trops"/>
    <x v="33"/>
    <s v=""/>
    <s v="1:03:05"/>
    <x v="102"/>
  </r>
  <r>
    <x v="738"/>
    <x v="3"/>
    <s v="Trubicino"/>
    <x v="371"/>
    <s v="mtb.lv"/>
    <s v="1:33:34"/>
    <x v="173"/>
  </r>
  <r>
    <x v="65"/>
    <x v="2"/>
    <s v="Turauskis"/>
    <x v="372"/>
    <s v="Sigulda"/>
    <s v="1:43:58"/>
    <x v="168"/>
  </r>
  <r>
    <x v="739"/>
    <x v="10"/>
    <s v="Ūdris"/>
    <x v="9"/>
    <s v="MSĢ"/>
    <s v="1:38:52"/>
    <x v="28"/>
  </r>
  <r>
    <x v="740"/>
    <x v="2"/>
    <s v="Ūdris"/>
    <x v="349"/>
    <s v="Krimuldas vsk."/>
    <s v="1:29:00"/>
    <x v="70"/>
  </r>
  <r>
    <x v="354"/>
    <x v="1"/>
    <s v="Ukins"/>
    <x v="3"/>
    <s v="Grifs AG"/>
    <s v="1:08:52"/>
    <x v="182"/>
  </r>
  <r>
    <x v="6"/>
    <x v="1"/>
    <s v="Ulmis"/>
    <x v="19"/>
    <s v=""/>
    <s v="1:17:54"/>
    <x v="1"/>
  </r>
  <r>
    <x v="741"/>
    <x v="2"/>
    <s v="Ulpe"/>
    <x v="61"/>
    <s v="Auteko"/>
    <s v="1:20:30"/>
    <x v="51"/>
  </r>
  <r>
    <x v="742"/>
    <x v="2"/>
    <s v="Upe"/>
    <x v="35"/>
    <s v="Berģu 50"/>
    <s v="1:08:54"/>
    <x v="216"/>
  </r>
  <r>
    <x v="743"/>
    <x v="3"/>
    <s v="Upīte-Upenie"/>
    <x v="0"/>
    <s v=""/>
    <s v="1:31:59"/>
    <x v="145"/>
  </r>
  <r>
    <x v="744"/>
    <x v="2"/>
    <s v="Upītis-Upeni"/>
    <x v="157"/>
    <s v=""/>
    <s v="1:10:01"/>
    <x v="128"/>
  </r>
  <r>
    <x v="745"/>
    <x v="2"/>
    <s v="Upmalis"/>
    <x v="373"/>
    <s v=""/>
    <s v="1:15:45"/>
    <x v="1"/>
  </r>
  <r>
    <x v="746"/>
    <x v="2"/>
    <s v="Urbāns"/>
    <x v="92"/>
    <s v="Ragana"/>
    <s v="1:12:14"/>
    <x v="22"/>
  </r>
  <r>
    <x v="17"/>
    <x v="2"/>
    <s v="Ustinovičs"/>
    <x v="374"/>
    <s v="Uve"/>
    <s v="1:01:48"/>
    <x v="64"/>
  </r>
  <r>
    <x v="747"/>
    <x v="2"/>
    <s v="Ustinovičs"/>
    <x v="282"/>
    <s v="VIP Style"/>
    <s v="1:05:20"/>
    <x v="113"/>
  </r>
  <r>
    <x v="748"/>
    <x v="2"/>
    <s v="Ustinovs"/>
    <x v="375"/>
    <s v="Veloserviss"/>
    <s v="1:26:42"/>
    <x v="42"/>
  </r>
  <r>
    <x v="749"/>
    <x v="3"/>
    <s v="Uzija"/>
    <x v="85"/>
    <s v=""/>
    <s v="1:28:50"/>
    <x v="25"/>
  </r>
  <r>
    <x v="356"/>
    <x v="2"/>
    <s v="Uzkalns"/>
    <x v="52"/>
    <s v="Ķekava"/>
    <s v="1:17:39"/>
    <x v="26"/>
  </r>
  <r>
    <x v="750"/>
    <x v="12"/>
    <s v="Uzulis"/>
    <x v="88"/>
    <s v="Daugavpils"/>
    <s v="1:53:08"/>
    <x v="235"/>
  </r>
  <r>
    <x v="224"/>
    <x v="5"/>
    <s v="Užāns"/>
    <x v="157"/>
    <s v=""/>
    <s v="1:48:14"/>
    <x v="146"/>
  </r>
  <r>
    <x v="751"/>
    <x v="2"/>
    <s v="Užāns"/>
    <x v="61"/>
    <s v=""/>
    <s v="1:30:00"/>
    <x v="205"/>
  </r>
  <r>
    <x v="85"/>
    <x v="0"/>
    <s v="Vabole"/>
    <x v="123"/>
    <s v="Hansabanka"/>
    <s v="2:13:32"/>
    <x v="175"/>
  </r>
  <r>
    <x v="28"/>
    <x v="5"/>
    <s v="Vaikulis"/>
    <x v="88"/>
    <s v=""/>
    <s v="1:55:13"/>
    <x v="32"/>
  </r>
  <r>
    <x v="752"/>
    <x v="2"/>
    <s v="Vaipans"/>
    <x v="376"/>
    <s v="ZZK"/>
    <s v="1:18:29"/>
    <x v="46"/>
  </r>
  <r>
    <x v="753"/>
    <x v="2"/>
    <s v="Vaitekūns"/>
    <x v="278"/>
    <s v="Veloserviss"/>
    <s v="1:07:53"/>
    <x v="91"/>
  </r>
  <r>
    <x v="754"/>
    <x v="2"/>
    <s v="Vaitekūns"/>
    <x v="15"/>
    <s v="Veloserviss"/>
    <s v="1:09:23"/>
    <x v="78"/>
  </r>
  <r>
    <x v="755"/>
    <x v="3"/>
    <s v="Vaivare"/>
    <x v="377"/>
    <s v="Otrā elpa"/>
    <s v="1:11:31"/>
    <x v="40"/>
  </r>
  <r>
    <x v="159"/>
    <x v="5"/>
    <s v="Vaivars"/>
    <x v="67"/>
    <s v="Otrā elpa"/>
    <s v="1:18:18"/>
    <x v="196"/>
  </r>
  <r>
    <x v="97"/>
    <x v="1"/>
    <s v="Valpēteris"/>
    <x v="44"/>
    <s v="3V"/>
    <s v="1:17:17"/>
    <x v="94"/>
  </r>
  <r>
    <x v="22"/>
    <x v="2"/>
    <s v="Vanags"/>
    <x v="49"/>
    <s v="Raimaks"/>
    <s v="1:02:56"/>
    <x v="2"/>
  </r>
  <r>
    <x v="194"/>
    <x v="2"/>
    <s v="Vasiļevskis"/>
    <x v="2"/>
    <s v="Hansabanka"/>
    <s v="1:25:48"/>
    <x v="112"/>
  </r>
  <r>
    <x v="756"/>
    <x v="2"/>
    <s v="Vasins"/>
    <x v="74"/>
    <s v="&quot;Projekts Pēdas&quot;"/>
    <s v="1:07:49"/>
    <x v="91"/>
  </r>
  <r>
    <x v="498"/>
    <x v="2"/>
    <s v="Vasks"/>
    <x v="19"/>
    <s v=""/>
    <s v="1:03:34"/>
    <x v="116"/>
  </r>
  <r>
    <x v="757"/>
    <x v="2"/>
    <s v="Vāvere"/>
    <x v="22"/>
    <s v=""/>
    <s v="1:40:01"/>
    <x v="10"/>
  </r>
  <r>
    <x v="184"/>
    <x v="1"/>
    <s v="Vazdiķis"/>
    <x v="113"/>
    <s v=""/>
    <s v="1:10:54"/>
    <x v="216"/>
  </r>
  <r>
    <x v="758"/>
    <x v="12"/>
    <s v="Vecenans"/>
    <x v="92"/>
    <s v=""/>
    <s v="2:06:01"/>
    <x v="177"/>
  </r>
  <r>
    <x v="759"/>
    <x v="9"/>
    <s v="Vectirāns"/>
    <x v="278"/>
    <s v="Amserv Motors"/>
    <s v="2:08:34"/>
    <x v="2"/>
  </r>
  <r>
    <x v="62"/>
    <x v="3"/>
    <s v="Vegnere"/>
    <x v="266"/>
    <s v="Ķekava"/>
    <s v="1:47:26"/>
    <x v="156"/>
  </r>
  <r>
    <x v="93"/>
    <x v="5"/>
    <s v="Vēģelis"/>
    <x v="378"/>
    <s v=""/>
    <s v="1:27:07"/>
    <x v="179"/>
  </r>
  <r>
    <x v="760"/>
    <x v="3"/>
    <s v="Veide"/>
    <x v="379"/>
    <s v="Krimuldas vsk."/>
    <s v="1:15:41"/>
    <x v="1"/>
  </r>
  <r>
    <x v="761"/>
    <x v="2"/>
    <s v="Veide"/>
    <x v="350"/>
    <s v="VIC velokurjers"/>
    <s v="1:03:26"/>
    <x v="227"/>
  </r>
  <r>
    <x v="762"/>
    <x v="3"/>
    <s v="Veide"/>
    <x v="237"/>
    <s v=""/>
    <s v="1:40:23"/>
    <x v="10"/>
  </r>
  <r>
    <x v="119"/>
    <x v="1"/>
    <s v="Veidemanis"/>
    <x v="67"/>
    <s v=""/>
    <s v="1:45:55"/>
    <x v="66"/>
  </r>
  <r>
    <x v="120"/>
    <x v="1"/>
    <s v="Veinbergs"/>
    <x v="15"/>
    <s v=""/>
    <s v="1:24:45"/>
    <x v="3"/>
  </r>
  <r>
    <x v="120"/>
    <x v="1"/>
    <s v="Veinbergs"/>
    <x v="91"/>
    <s v=""/>
    <s v="1:19:02"/>
    <x v="14"/>
  </r>
  <r>
    <x v="763"/>
    <x v="2"/>
    <s v="Veinbergs"/>
    <x v="39"/>
    <s v=""/>
    <s v="1:39:51"/>
    <x v="11"/>
  </r>
  <r>
    <x v="9"/>
    <x v="1"/>
    <s v="Veismanis"/>
    <x v="380"/>
    <s v="Smiltene"/>
    <s v="1:11:20"/>
    <x v="78"/>
  </r>
  <r>
    <x v="22"/>
    <x v="2"/>
    <s v="Vējiņš"/>
    <x v="157"/>
    <s v="Viesuļi"/>
    <s v="1:20:52"/>
    <x v="4"/>
  </r>
  <r>
    <x v="29"/>
    <x v="2"/>
    <s v="Veličko"/>
    <x v="350"/>
    <s v="Daugavpils"/>
    <s v="1:16:27"/>
    <x v="151"/>
  </r>
  <r>
    <x v="764"/>
    <x v="17"/>
    <s v="Velke"/>
    <x v="111"/>
    <s v=""/>
    <s v="1:53:21"/>
    <x v="236"/>
  </r>
  <r>
    <x v="765"/>
    <x v="2"/>
    <s v="Verdens"/>
    <x v="44"/>
    <s v=""/>
    <s v="1:26:35"/>
    <x v="42"/>
  </r>
  <r>
    <x v="766"/>
    <x v="2"/>
    <s v="Vertuls"/>
    <x v="129"/>
    <s v="karters.lv"/>
    <s v="1:14:03"/>
    <x v="152"/>
  </r>
  <r>
    <x v="767"/>
    <x v="2"/>
    <s v="Vesers"/>
    <x v="3"/>
    <s v="V-sports"/>
    <s v="1:02:04"/>
    <x v="6"/>
  </r>
  <r>
    <x v="57"/>
    <x v="1"/>
    <s v="Vidžups"/>
    <x v="231"/>
    <s v="Ozolnieki"/>
    <s v="1:10:02"/>
    <x v="54"/>
  </r>
  <r>
    <x v="48"/>
    <x v="1"/>
    <s v="Vīksna"/>
    <x v="23"/>
    <s v=""/>
    <s v="1:34:03"/>
    <x v="124"/>
  </r>
  <r>
    <x v="13"/>
    <x v="5"/>
    <s v="Vīksna"/>
    <x v="97"/>
    <s v="Alūksne"/>
    <s v="1:58:11"/>
    <x v="50"/>
  </r>
  <r>
    <x v="65"/>
    <x v="2"/>
    <s v="Vīksne"/>
    <x v="83"/>
    <s v="Rīga"/>
    <s v="1:25:07"/>
    <x v="130"/>
  </r>
  <r>
    <x v="53"/>
    <x v="4"/>
    <s v="Vikštrems"/>
    <x v="31"/>
    <s v=""/>
    <s v="1:48:13"/>
    <x v="146"/>
  </r>
  <r>
    <x v="768"/>
    <x v="2"/>
    <s v="Vilāns"/>
    <x v="19"/>
    <s v=""/>
    <s v="1:36:19"/>
    <x v="59"/>
  </r>
  <r>
    <x v="769"/>
    <x v="2"/>
    <s v="Viļimas"/>
    <x v="381"/>
    <s v=""/>
    <s v="1:06:16"/>
    <x v="33"/>
  </r>
  <r>
    <x v="90"/>
    <x v="1"/>
    <s v="Viļķis"/>
    <x v="160"/>
    <s v="Raimaks"/>
    <s v="1:05:22"/>
    <x v="116"/>
  </r>
  <r>
    <x v="193"/>
    <x v="1"/>
    <s v="Viļumovs"/>
    <x v="133"/>
    <s v="Reir"/>
    <s v="1:05:55"/>
    <x v="184"/>
  </r>
  <r>
    <x v="11"/>
    <x v="2"/>
    <s v="Vimba"/>
    <x v="19"/>
    <s v="Valmiera"/>
    <s v="1:15:27"/>
    <x v="71"/>
  </r>
  <r>
    <x v="770"/>
    <x v="2"/>
    <s v="Vingris"/>
    <x v="52"/>
    <s v="Marss"/>
    <s v="1:07:55"/>
    <x v="91"/>
  </r>
  <r>
    <x v="771"/>
    <x v="3"/>
    <s v="Virsnīte"/>
    <x v="298"/>
    <s v=""/>
    <s v="1:27:04"/>
    <x v="192"/>
  </r>
  <r>
    <x v="139"/>
    <x v="1"/>
    <s v="Virza"/>
    <x v="19"/>
    <s v="JV 11"/>
    <s v="1:29:41"/>
    <x v="153"/>
  </r>
  <r>
    <x v="772"/>
    <x v="3"/>
    <s v="Visnola"/>
    <x v="87"/>
    <s v="&quot;Projekts Pēdas&quot;"/>
    <s v="1:28:32"/>
    <x v="87"/>
  </r>
  <r>
    <x v="176"/>
    <x v="2"/>
    <s v="Visockis"/>
    <x v="78"/>
    <s v="Ķekavas vsk"/>
    <s v="1:18:10"/>
    <x v="84"/>
  </r>
  <r>
    <x v="105"/>
    <x v="15"/>
    <s v="Visockis"/>
    <x v="81"/>
    <s v="Ķekavas vsk"/>
    <s v="1:22:06"/>
    <x v="73"/>
  </r>
  <r>
    <x v="131"/>
    <x v="1"/>
    <s v="Viškers"/>
    <x v="19"/>
    <s v="Concorde"/>
    <s v="1:22:05"/>
    <x v="73"/>
  </r>
  <r>
    <x v="1"/>
    <x v="1"/>
    <s v="Vīte"/>
    <x v="81"/>
    <s v="Rietumu Banka"/>
    <s v="0:59:08"/>
    <x v="185"/>
  </r>
  <r>
    <x v="773"/>
    <x v="2"/>
    <s v="Vitenburgs"/>
    <x v="90"/>
    <s v="Veloserviss"/>
    <s v="1:21:05"/>
    <x v="8"/>
  </r>
  <r>
    <x v="65"/>
    <x v="3"/>
    <s v="Vītola"/>
    <x v="382"/>
    <s v="Aloja"/>
    <s v="1:25:05"/>
    <x v="130"/>
  </r>
  <r>
    <x v="774"/>
    <x v="3"/>
    <s v="Vītoliņa"/>
    <x v="300"/>
    <s v="V-sports"/>
    <s v="1:37:38"/>
    <x v="225"/>
  </r>
  <r>
    <x v="91"/>
    <x v="1"/>
    <s v="Vītoliņš"/>
    <x v="7"/>
    <s v=""/>
    <s v="1:04:02"/>
    <x v="90"/>
  </r>
  <r>
    <x v="354"/>
    <x v="1"/>
    <s v="Vītols"/>
    <x v="67"/>
    <s v=""/>
    <s v="1:18:42"/>
    <x v="151"/>
  </r>
  <r>
    <x v="775"/>
    <x v="2"/>
    <s v="Vītols"/>
    <x v="97"/>
    <s v=""/>
    <s v="1:16:21"/>
    <x v="196"/>
  </r>
  <r>
    <x v="776"/>
    <x v="2"/>
    <s v="Vītols"/>
    <x v="52"/>
    <s v="Hansabanka"/>
    <s v="1:22:22"/>
    <x v="3"/>
  </r>
  <r>
    <x v="36"/>
    <x v="3"/>
    <s v="Vlasova"/>
    <x v="383"/>
    <s v="Team Milo Latvia"/>
    <s v="2:06:12"/>
    <x v="188"/>
  </r>
  <r>
    <x v="777"/>
    <x v="3"/>
    <s v="Voicehoviča"/>
    <x v="124"/>
    <s v=""/>
    <s v="1:44:21"/>
    <x v="168"/>
  </r>
  <r>
    <x v="207"/>
    <x v="13"/>
    <s v="Voika"/>
    <x v="295"/>
    <s v="Spars"/>
    <s v="1:23:07"/>
    <x v="4"/>
  </r>
  <r>
    <x v="778"/>
    <x v="3"/>
    <s v="Voitkāne"/>
    <x v="162"/>
    <s v=""/>
    <s v="1:37:09"/>
    <x v="60"/>
  </r>
  <r>
    <x v="779"/>
    <x v="3"/>
    <s v="Volkova"/>
    <x v="384"/>
    <s v="Karlos K"/>
    <s v="1:51:22"/>
    <x v="215"/>
  </r>
  <r>
    <x v="184"/>
    <x v="2"/>
    <s v="Volkovičs"/>
    <x v="105"/>
    <s v=""/>
    <s v="1:00:31"/>
    <x v="203"/>
  </r>
  <r>
    <x v="780"/>
    <x v="2"/>
    <s v="Volkovs"/>
    <x v="19"/>
    <s v="Karlos K"/>
    <s v="2:01:42"/>
    <x v="61"/>
  </r>
  <r>
    <x v="88"/>
    <x v="1"/>
    <s v="Volodko"/>
    <x v="169"/>
    <s v="Rīga"/>
    <s v="1:23:26"/>
    <x v="8"/>
  </r>
  <r>
    <x v="781"/>
    <x v="10"/>
    <s v="Vosekalns"/>
    <x v="60"/>
    <s v="Trek-Philips"/>
    <s v="1:39:14"/>
    <x v="48"/>
  </r>
  <r>
    <x v="782"/>
    <x v="2"/>
    <s v="Vronskis"/>
    <x v="385"/>
    <s v="Daugavpils"/>
    <s v="1:04:59"/>
    <x v="155"/>
  </r>
  <r>
    <x v="131"/>
    <x v="1"/>
    <s v="Yakovlev"/>
    <x v="386"/>
    <s v="Maskava"/>
    <s v="1:24:30"/>
    <x v="108"/>
  </r>
  <r>
    <x v="93"/>
    <x v="0"/>
    <s v="Zagorska"/>
    <x v="134"/>
    <s v="Lielvārde"/>
    <s v="2:04:32"/>
    <x v="119"/>
  </r>
  <r>
    <x v="90"/>
    <x v="1"/>
    <s v="Zagorskis"/>
    <x v="387"/>
    <s v="3W"/>
    <s v="1:05:53"/>
    <x v="184"/>
  </r>
  <r>
    <x v="783"/>
    <x v="2"/>
    <s v="Zagorskis"/>
    <x v="58"/>
    <s v="Mālpils"/>
    <s v="1:15:15"/>
    <x v="94"/>
  </r>
  <r>
    <x v="784"/>
    <x v="2"/>
    <s v="Zagorskis"/>
    <x v="388"/>
    <s v="Mālpils"/>
    <s v="1:16:28"/>
    <x v="151"/>
  </r>
  <r>
    <x v="785"/>
    <x v="2"/>
    <s v="Zagorskis"/>
    <x v="19"/>
    <s v=""/>
    <s v="1:12:31"/>
    <x v="55"/>
  </r>
  <r>
    <x v="159"/>
    <x v="5"/>
    <s v="Zaķis"/>
    <x v="32"/>
    <s v=""/>
    <s v="1:13:58"/>
    <x v="92"/>
  </r>
  <r>
    <x v="786"/>
    <x v="3"/>
    <s v="Zalcmane"/>
    <x v="38"/>
    <s v="IT Alise"/>
    <s v="1:45:21"/>
    <x v="146"/>
  </r>
  <r>
    <x v="173"/>
    <x v="15"/>
    <s v="Zalcmanis"/>
    <x v="97"/>
    <s v="ZZK"/>
    <s v="1:44:23"/>
    <x v="52"/>
  </r>
  <r>
    <x v="5"/>
    <x v="2"/>
    <s v="Zālītis"/>
    <x v="50"/>
    <s v=""/>
    <s v="1:06:33"/>
    <x v="31"/>
  </r>
  <r>
    <x v="787"/>
    <x v="8"/>
    <s v="Zālītis"/>
    <x v="35"/>
    <s v="Tandēms/Dobele"/>
    <s v="1:39:33"/>
    <x v="166"/>
  </r>
  <r>
    <x v="182"/>
    <x v="1"/>
    <s v="Zālītis"/>
    <x v="9"/>
    <s v="Superior"/>
    <s v="1:11:14"/>
    <x v="115"/>
  </r>
  <r>
    <x v="146"/>
    <x v="2"/>
    <s v="Zandovskis"/>
    <x v="5"/>
    <s v="Sigulda"/>
    <s v="1:20:12"/>
    <x v="195"/>
  </r>
  <r>
    <x v="139"/>
    <x v="0"/>
    <s v="Zariņa"/>
    <x v="41"/>
    <s v="X sports Corratec"/>
    <s v="1:26:22"/>
    <x v="88"/>
  </r>
  <r>
    <x v="788"/>
    <x v="10"/>
    <s v="Zariņš"/>
    <x v="14"/>
    <s v="MSĢ"/>
    <s v="1:39:02"/>
    <x v="28"/>
  </r>
  <r>
    <x v="141"/>
    <x v="1"/>
    <s v="Zariņš"/>
    <x v="78"/>
    <s v=""/>
    <s v="1:11:34"/>
    <x v="194"/>
  </r>
  <r>
    <x v="173"/>
    <x v="2"/>
    <s v="Zariņš"/>
    <x v="42"/>
    <s v=""/>
    <s v="1:03:56"/>
    <x v="77"/>
  </r>
  <r>
    <x v="182"/>
    <x v="1"/>
    <s v="Zariņš"/>
    <x v="46"/>
    <s v="Theparadise.lv"/>
    <s v="1:45:17"/>
    <x v="103"/>
  </r>
  <r>
    <x v="789"/>
    <x v="2"/>
    <s v="Zariņš"/>
    <x v="222"/>
    <s v=""/>
    <s v="1:34:33"/>
    <x v="99"/>
  </r>
  <r>
    <x v="146"/>
    <x v="3"/>
    <s v="Zavicka"/>
    <x v="36"/>
    <s v="Sigulda"/>
    <s v="1:21:39"/>
    <x v="95"/>
  </r>
  <r>
    <x v="146"/>
    <x v="2"/>
    <s v="Zavickis"/>
    <x v="389"/>
    <s v="Sigulda"/>
    <s v="1:20:38"/>
    <x v="51"/>
  </r>
  <r>
    <x v="139"/>
    <x v="13"/>
    <s v="Zbitņevs"/>
    <x v="20"/>
    <s v="Spars"/>
    <s v="1:09:06"/>
    <x v="131"/>
  </r>
  <r>
    <x v="131"/>
    <x v="15"/>
    <s v="Zdanovskis"/>
    <x v="92"/>
    <s v="Tandems"/>
    <s v="1:05:02"/>
    <x v="102"/>
  </r>
  <r>
    <x v="790"/>
    <x v="2"/>
    <s v="Zdanovskis"/>
    <x v="19"/>
    <s v="Tandēms"/>
    <s v="1:07:39"/>
    <x v="208"/>
  </r>
  <r>
    <x v="94"/>
    <x v="1"/>
    <s v="Zeics"/>
    <x v="51"/>
    <s v=""/>
    <s v="1:17:34"/>
    <x v="71"/>
  </r>
  <r>
    <x v="791"/>
    <x v="2"/>
    <s v="Zeiza"/>
    <x v="156"/>
    <s v="Karlos K"/>
    <s v="1:32:55"/>
    <x v="5"/>
  </r>
  <r>
    <x v="792"/>
    <x v="3"/>
    <s v="Zelča"/>
    <x v="390"/>
    <s v="Zelči"/>
    <s v="1:52:25"/>
    <x v="170"/>
  </r>
  <r>
    <x v="193"/>
    <x v="1"/>
    <s v="Zelčs"/>
    <x v="391"/>
    <s v=""/>
    <s v="1:14:07"/>
    <x v="39"/>
  </r>
  <r>
    <x v="793"/>
    <x v="2"/>
    <s v="Zelčs"/>
    <x v="28"/>
    <s v="Zelči"/>
    <s v="1:48:59"/>
    <x v="23"/>
  </r>
  <r>
    <x v="794"/>
    <x v="2"/>
    <s v="Zelčs"/>
    <x v="52"/>
    <s v="Kaķīškalns"/>
    <s v="1:03:17"/>
    <x v="227"/>
  </r>
  <r>
    <x v="795"/>
    <x v="2"/>
    <s v="Zeļonka"/>
    <x v="83"/>
    <s v=""/>
    <s v="1:14:02"/>
    <x v="152"/>
  </r>
  <r>
    <x v="106"/>
    <x v="5"/>
    <s v="Zembergs"/>
    <x v="22"/>
    <s v=""/>
    <s v="1:11:39"/>
    <x v="194"/>
  </r>
  <r>
    <x v="74"/>
    <x v="2"/>
    <s v="Zemitis"/>
    <x v="392"/>
    <s v="Martins un Co"/>
    <s v="0:57:30"/>
    <x v="185"/>
  </r>
  <r>
    <x v="796"/>
    <x v="2"/>
    <s v="Zemītis"/>
    <x v="49"/>
    <s v="Krimuldas vsk."/>
    <s v="1:36:51"/>
    <x v="60"/>
  </r>
  <r>
    <x v="797"/>
    <x v="2"/>
    <s v="Zeņģis"/>
    <x v="355"/>
    <s v="Zeņģis Racinng Team"/>
    <s v="1:06:27"/>
    <x v="33"/>
  </r>
  <r>
    <x v="92"/>
    <x v="15"/>
    <s v="Zeps"/>
    <x v="22"/>
    <s v="Rīga"/>
    <s v="1:19:05"/>
    <x v="14"/>
  </r>
  <r>
    <x v="28"/>
    <x v="1"/>
    <s v="Zeps"/>
    <x v="29"/>
    <s v="Rīga"/>
    <s v="1:24:07"/>
    <x v="101"/>
  </r>
  <r>
    <x v="798"/>
    <x v="2"/>
    <s v="Ziders"/>
    <x v="304"/>
    <s v=""/>
    <s v="1:22:25"/>
    <x v="3"/>
  </r>
  <r>
    <x v="62"/>
    <x v="2"/>
    <s v="Ziediņš"/>
    <x v="97"/>
    <s v="Team Milo Latvia"/>
    <s v="2:41:15"/>
    <x v="213"/>
  </r>
  <r>
    <x v="799"/>
    <x v="2"/>
    <s v="Ziemelis"/>
    <x v="131"/>
    <s v=""/>
    <s v="1:15:43"/>
    <x v="1"/>
  </r>
  <r>
    <x v="76"/>
    <x v="13"/>
    <s v="Zikmanis"/>
    <x v="6"/>
    <s v="Ozolnieki"/>
    <s v="1:22:02"/>
    <x v="73"/>
  </r>
  <r>
    <x v="224"/>
    <x v="1"/>
    <s v="Zilis"/>
    <x v="10"/>
    <s v="Daugavpils"/>
    <s v="1:05:56"/>
    <x v="184"/>
  </r>
  <r>
    <x v="159"/>
    <x v="1"/>
    <s v="Zīverts"/>
    <x v="52"/>
    <s v=""/>
    <s v="1:17:23"/>
    <x v="94"/>
  </r>
  <r>
    <x v="48"/>
    <x v="2"/>
    <s v="Zlotņikovs"/>
    <x v="158"/>
    <s v=""/>
    <s v="0:58:00"/>
    <x v="126"/>
  </r>
  <r>
    <x v="197"/>
    <x v="2"/>
    <s v="Znotiņš"/>
    <x v="49"/>
    <s v="Rīga"/>
    <s v="1:19:38"/>
    <x v="73"/>
  </r>
  <r>
    <x v="800"/>
    <x v="18"/>
    <s v="Zorģe       "/>
    <x v="106"/>
    <s v="Talsi"/>
    <s v="1:39:36"/>
    <x v="166"/>
  </r>
  <r>
    <x v="801"/>
    <x v="3"/>
    <s v="Zvagūze"/>
    <x v="393"/>
    <s v=""/>
    <s v="2:00:22"/>
    <x v="237"/>
  </r>
  <r>
    <x v="28"/>
    <x v="1"/>
    <s v="Zvaneris"/>
    <x v="55"/>
    <s v=""/>
    <s v="1:15:36"/>
    <x v="17"/>
  </r>
  <r>
    <x v="22"/>
    <x v="2"/>
    <s v="Zvīdriņš"/>
    <x v="9"/>
    <s v="Rīga"/>
    <s v="1:13:10"/>
    <x v="96"/>
  </r>
  <r>
    <x v="802"/>
    <x v="2"/>
    <s v="Zviedris"/>
    <x v="22"/>
    <s v="&quot;Projekts Pēdas&quot;"/>
    <s v="1:30:01"/>
    <x v="205"/>
  </r>
  <r>
    <x v="354"/>
    <x v="5"/>
    <s v="Zvingulis"/>
    <x v="28"/>
    <s v="Fuji Team"/>
    <s v="1:08:54"/>
    <x v="182"/>
  </r>
  <r>
    <x v="17"/>
    <x v="3"/>
    <s v="Zvirbule"/>
    <x v="394"/>
    <s v="Rīga"/>
    <s v="1:13:44"/>
    <x v="45"/>
  </r>
  <r>
    <x v="245"/>
    <x v="2"/>
    <s v="Zvirbulis"/>
    <x v="26"/>
    <s v=""/>
    <s v="1:30:58"/>
    <x v="110"/>
  </r>
  <r>
    <x v="226"/>
    <x v="4"/>
    <s v="Zvirgzdiņš"/>
    <x v="82"/>
    <s v=""/>
    <s v="1:03:53"/>
    <x v="6"/>
  </r>
  <r>
    <x v="197"/>
    <x v="3"/>
    <s v="Zvjatkova"/>
    <x v="395"/>
    <s v="OK Alnis"/>
    <s v="1:33:13"/>
    <x v="89"/>
  </r>
  <r>
    <x v="803"/>
    <x v="3"/>
    <s v="Žagata"/>
    <x v="38"/>
    <s v="Karlos K"/>
    <s v="1:36:14"/>
    <x v="59"/>
  </r>
  <r>
    <x v="804"/>
    <x v="3"/>
    <s v="Žebere"/>
    <x v="235"/>
    <s v="ZZK"/>
    <s v="1:15:53"/>
    <x v="74"/>
  </r>
  <r>
    <x v="805"/>
    <x v="3"/>
    <s v="Žebere"/>
    <x v="109"/>
    <s v="ZZK"/>
    <s v="1:10:23"/>
    <x v="19"/>
  </r>
  <r>
    <x v="175"/>
    <x v="2"/>
    <s v="Žebers"/>
    <x v="46"/>
    <s v="ZZK"/>
    <s v="1:10:23"/>
    <x v="19"/>
  </r>
  <r>
    <x v="88"/>
    <x v="1"/>
    <s v="Žīgurs"/>
    <x v="50"/>
    <s v=""/>
    <s v="1:20:21"/>
    <x v="84"/>
  </r>
  <r>
    <x v="24"/>
    <x v="1"/>
    <s v="Žihars"/>
    <x v="49"/>
    <s v=""/>
    <s v="1:23:42"/>
    <x v="8"/>
  </r>
  <r>
    <x v="12"/>
    <x v="1"/>
    <s v="Žižkuns"/>
    <x v="242"/>
    <s v="Rīga"/>
    <s v="1:42:01"/>
    <x v="16"/>
  </r>
  <r>
    <x v="806"/>
    <x v="9"/>
    <s v="Žuburs"/>
    <x v="113"/>
    <s v="Dunalka"/>
    <s v="1:55:50"/>
    <x v="238"/>
  </r>
  <r>
    <x v="807"/>
    <x v="2"/>
    <s v="Žunda"/>
    <x v="396"/>
    <s v="Elkor sports-author"/>
    <s v="1:02:37"/>
    <x v="43"/>
  </r>
  <r>
    <x v="808"/>
    <x v="2"/>
    <s v="Žunna"/>
    <x v="397"/>
    <s v="3V"/>
    <s v="1:24:06"/>
    <x v="122"/>
  </r>
  <r>
    <x v="809"/>
    <x v="2"/>
    <s v="Žurovs"/>
    <x v="158"/>
    <s v=""/>
    <s v="0:57:23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DF3E5-F67F-4E89-A870-C989CD22E1A4}" name="PivotTable2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 rowPageCount="1" colPageCount="1"/>
  <pivotFields count="7">
    <pivotField showAll="0"/>
    <pivotField showAll="0"/>
    <pivotField showAll="0"/>
    <pivotField axis="axisPage" dataField="1" showAll="0">
      <items count="399">
        <item x="95"/>
        <item x="252"/>
        <item x="263"/>
        <item x="38"/>
        <item x="330"/>
        <item x="277"/>
        <item x="97"/>
        <item x="28"/>
        <item x="345"/>
        <item x="213"/>
        <item x="46"/>
        <item x="232"/>
        <item x="226"/>
        <item x="88"/>
        <item x="355"/>
        <item x="236"/>
        <item x="90"/>
        <item x="234"/>
        <item x="10"/>
        <item x="137"/>
        <item x="209"/>
        <item x="353"/>
        <item x="344"/>
        <item x="352"/>
        <item x="381"/>
        <item x="371"/>
        <item x="69"/>
        <item x="185"/>
        <item x="157"/>
        <item x="311"/>
        <item x="33"/>
        <item x="15"/>
        <item x="172"/>
        <item x="120"/>
        <item x="237"/>
        <item x="370"/>
        <item x="285"/>
        <item x="239"/>
        <item x="219"/>
        <item x="274"/>
        <item x="365"/>
        <item x="112"/>
        <item x="323"/>
        <item x="29"/>
        <item x="335"/>
        <item x="92"/>
        <item x="324"/>
        <item x="148"/>
        <item x="40"/>
        <item x="35"/>
        <item x="31"/>
        <item x="280"/>
        <item x="305"/>
        <item x="224"/>
        <item x="176"/>
        <item x="301"/>
        <item x="96"/>
        <item x="104"/>
        <item x="397"/>
        <item x="300"/>
        <item x="186"/>
        <item x="8"/>
        <item x="124"/>
        <item x="45"/>
        <item x="84"/>
        <item x="255"/>
        <item x="155"/>
        <item x="254"/>
        <item x="318"/>
        <item x="87"/>
        <item x="140"/>
        <item x="317"/>
        <item x="123"/>
        <item x="113"/>
        <item x="212"/>
        <item x="150"/>
        <item x="177"/>
        <item x="332"/>
        <item x="58"/>
        <item x="246"/>
        <item x="201"/>
        <item x="139"/>
        <item x="50"/>
        <item x="289"/>
        <item x="210"/>
        <item x="5"/>
        <item x="206"/>
        <item x="183"/>
        <item x="9"/>
        <item x="166"/>
        <item x="379"/>
        <item x="174"/>
        <item x="249"/>
        <item x="83"/>
        <item x="107"/>
        <item x="343"/>
        <item x="128"/>
        <item x="231"/>
        <item x="329"/>
        <item x="173"/>
        <item x="165"/>
        <item x="368"/>
        <item x="225"/>
        <item x="111"/>
        <item x="286"/>
        <item x="248"/>
        <item x="217"/>
        <item x="295"/>
        <item x="101"/>
        <item x="351"/>
        <item x="175"/>
        <item x="71"/>
        <item x="310"/>
        <item x="118"/>
        <item x="195"/>
        <item x="72"/>
        <item x="146"/>
        <item x="187"/>
        <item x="385"/>
        <item x="205"/>
        <item x="389"/>
        <item x="7"/>
        <item x="190"/>
        <item x="375"/>
        <item x="208"/>
        <item x="117"/>
        <item x="161"/>
        <item x="67"/>
        <item x="271"/>
        <item x="364"/>
        <item x="160"/>
        <item x="278"/>
        <item x="316"/>
        <item x="167"/>
        <item x="51"/>
        <item x="65"/>
        <item x="138"/>
        <item x="334"/>
        <item x="61"/>
        <item x="349"/>
        <item x="59"/>
        <item x="184"/>
        <item x="333"/>
        <item x="18"/>
        <item x="80"/>
        <item x="0"/>
        <item x="158"/>
        <item x="253"/>
        <item x="32"/>
        <item x="298"/>
        <item x="220"/>
        <item x="221"/>
        <item x="4"/>
        <item x="36"/>
        <item x="91"/>
        <item x="125"/>
        <item x="265"/>
        <item x="34"/>
        <item x="64"/>
        <item x="100"/>
        <item x="297"/>
        <item x="215"/>
        <item x="387"/>
        <item x="168"/>
        <item x="164"/>
        <item x="77"/>
        <item x="171"/>
        <item x="380"/>
        <item x="268"/>
        <item x="251"/>
        <item x="57"/>
        <item x="203"/>
        <item x="259"/>
        <item x="294"/>
        <item x="163"/>
        <item x="129"/>
        <item x="196"/>
        <item x="142"/>
        <item x="133"/>
        <item x="326"/>
        <item x="320"/>
        <item x="30"/>
        <item x="53"/>
        <item x="19"/>
        <item x="230"/>
        <item x="151"/>
        <item x="132"/>
        <item x="282"/>
        <item x="145"/>
        <item x="89"/>
        <item x="296"/>
        <item x="102"/>
        <item x="242"/>
        <item x="6"/>
        <item x="143"/>
        <item x="110"/>
        <item x="211"/>
        <item x="44"/>
        <item x="144"/>
        <item x="188"/>
        <item x="49"/>
        <item x="319"/>
        <item x="261"/>
        <item x="264"/>
        <item x="78"/>
        <item x="307"/>
        <item x="357"/>
        <item x="75"/>
        <item x="79"/>
        <item x="41"/>
        <item x="193"/>
        <item x="325"/>
        <item x="197"/>
        <item x="257"/>
        <item x="312"/>
        <item x="85"/>
        <item x="16"/>
        <item x="20"/>
        <item x="287"/>
        <item x="181"/>
        <item x="27"/>
        <item x="275"/>
        <item x="383"/>
        <item x="245"/>
        <item x="127"/>
        <item x="162"/>
        <item x="299"/>
        <item x="121"/>
        <item x="134"/>
        <item x="288"/>
        <item x="43"/>
        <item x="394"/>
        <item x="135"/>
        <item x="390"/>
        <item x="108"/>
        <item x="94"/>
        <item x="21"/>
        <item x="229"/>
        <item x="178"/>
        <item x="182"/>
        <item x="260"/>
        <item x="192"/>
        <item x="233"/>
        <item x="347"/>
        <item x="315"/>
        <item x="152"/>
        <item x="356"/>
        <item x="189"/>
        <item x="170"/>
        <item x="392"/>
        <item x="366"/>
        <item x="11"/>
        <item x="348"/>
        <item x="13"/>
        <item x="22"/>
        <item x="244"/>
        <item x="52"/>
        <item x="56"/>
        <item x="169"/>
        <item x="238"/>
        <item x="17"/>
        <item x="336"/>
        <item x="81"/>
        <item x="116"/>
        <item x="25"/>
        <item x="393"/>
        <item x="202"/>
        <item x="99"/>
        <item x="322"/>
        <item x="270"/>
        <item x="243"/>
        <item x="216"/>
        <item x="63"/>
        <item x="372"/>
        <item x="283"/>
        <item x="328"/>
        <item x="228"/>
        <item x="62"/>
        <item x="14"/>
        <item x="281"/>
        <item x="76"/>
        <item x="240"/>
        <item x="258"/>
        <item x="293"/>
        <item x="12"/>
        <item x="105"/>
        <item x="68"/>
        <item x="114"/>
        <item x="130"/>
        <item x="314"/>
        <item x="241"/>
        <item x="26"/>
        <item x="159"/>
        <item x="37"/>
        <item x="66"/>
        <item x="198"/>
        <item x="369"/>
        <item x="327"/>
        <item x="279"/>
        <item x="131"/>
        <item x="179"/>
        <item x="54"/>
        <item x="98"/>
        <item x="308"/>
        <item x="136"/>
        <item x="354"/>
        <item x="24"/>
        <item x="272"/>
        <item x="1"/>
        <item x="256"/>
        <item x="303"/>
        <item x="55"/>
        <item x="291"/>
        <item x="247"/>
        <item x="269"/>
        <item x="342"/>
        <item x="304"/>
        <item x="156"/>
        <item x="126"/>
        <item x="362"/>
        <item x="339"/>
        <item x="391"/>
        <item x="223"/>
        <item x="331"/>
        <item x="337"/>
        <item x="361"/>
        <item x="377"/>
        <item x="350"/>
        <item x="70"/>
        <item x="302"/>
        <item x="321"/>
        <item x="346"/>
        <item x="2"/>
        <item x="235"/>
        <item x="42"/>
        <item x="227"/>
        <item x="262"/>
        <item x="86"/>
        <item x="306"/>
        <item x="378"/>
        <item x="103"/>
        <item x="386"/>
        <item x="338"/>
        <item x="292"/>
        <item x="214"/>
        <item x="250"/>
        <item x="200"/>
        <item x="376"/>
        <item x="360"/>
        <item x="207"/>
        <item x="309"/>
        <item x="388"/>
        <item x="147"/>
        <item x="74"/>
        <item x="82"/>
        <item x="39"/>
        <item x="313"/>
        <item x="266"/>
        <item x="73"/>
        <item x="154"/>
        <item x="141"/>
        <item x="3"/>
        <item x="374"/>
        <item x="273"/>
        <item x="218"/>
        <item x="267"/>
        <item x="284"/>
        <item x="153"/>
        <item x="194"/>
        <item x="395"/>
        <item x="358"/>
        <item x="340"/>
        <item x="373"/>
        <item x="23"/>
        <item x="149"/>
        <item x="60"/>
        <item x="363"/>
        <item x="367"/>
        <item x="47"/>
        <item x="122"/>
        <item x="48"/>
        <item x="106"/>
        <item x="180"/>
        <item x="191"/>
        <item x="341"/>
        <item x="119"/>
        <item x="382"/>
        <item x="396"/>
        <item x="199"/>
        <item x="204"/>
        <item x="290"/>
        <item x="359"/>
        <item x="276"/>
        <item x="109"/>
        <item x="115"/>
        <item x="93"/>
        <item x="222"/>
        <item x="384"/>
        <item t="default"/>
      </items>
    </pivotField>
    <pivotField showAll="0"/>
    <pivotField showAll="0"/>
    <pivotField showAll="0"/>
  </pivotFields>
  <rowItems count="1">
    <i/>
  </rowItems>
  <colItems count="1">
    <i/>
  </colItems>
  <pageFields count="1">
    <pageField fld="3" item="200" hier="-1"/>
  </pageFields>
  <dataFields count="1">
    <dataField name="Count of Vārd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0DCA3-3FE6-430F-87A2-EE07803A98D7}" name="PivotTable3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7">
    <pivotField showAll="0"/>
    <pivotField axis="axisRow" multipleItemSelectionAllowed="1" showAll="0">
      <items count="20">
        <item h="1" x="10"/>
        <item h="1" x="8"/>
        <item h="1" x="9"/>
        <item h="1" x="12"/>
        <item h="1" x="7"/>
        <item h="1" x="11"/>
        <item x="13"/>
        <item x="4"/>
        <item x="15"/>
        <item x="1"/>
        <item x="5"/>
        <item x="6"/>
        <item x="14"/>
        <item x="16"/>
        <item x="0"/>
        <item h="1" x="2"/>
        <item h="1" x="3"/>
        <item h="1" x="17"/>
        <item h="1" x="18"/>
        <item t="default"/>
      </items>
    </pivotField>
    <pivotField showAll="0"/>
    <pivotField showAll="0"/>
    <pivotField showAll="0"/>
    <pivotField showAll="0"/>
    <pivotField dataField="1" showAll="0">
      <items count="240">
        <item x="213"/>
        <item x="202"/>
        <item x="100"/>
        <item x="189"/>
        <item x="129"/>
        <item x="106"/>
        <item x="53"/>
        <item x="211"/>
        <item x="65"/>
        <item x="222"/>
        <item x="226"/>
        <item x="197"/>
        <item x="175"/>
        <item x="104"/>
        <item x="220"/>
        <item x="38"/>
        <item x="188"/>
        <item x="171"/>
        <item x="18"/>
        <item x="133"/>
        <item x="183"/>
        <item x="61"/>
        <item x="119"/>
        <item x="237"/>
        <item x="0"/>
        <item x="172"/>
        <item x="142"/>
        <item x="141"/>
        <item x="37"/>
        <item x="159"/>
        <item x="50"/>
        <item x="187"/>
        <item x="118"/>
        <item x="105"/>
        <item x="170"/>
        <item x="32"/>
        <item x="215"/>
        <item x="72"/>
        <item x="137"/>
        <item x="136"/>
        <item x="23"/>
        <item x="144"/>
        <item x="13"/>
        <item x="156"/>
        <item x="109"/>
        <item x="178"/>
        <item x="121"/>
        <item x="146"/>
        <item x="27"/>
        <item x="168"/>
        <item x="69"/>
        <item x="66"/>
        <item x="80"/>
        <item x="103"/>
        <item x="52"/>
        <item x="15"/>
        <item x="134"/>
        <item x="10"/>
        <item x="11"/>
        <item x="16"/>
        <item x="135"/>
        <item x="219"/>
        <item x="212"/>
        <item x="225"/>
        <item x="60"/>
        <item x="154"/>
        <item x="59"/>
        <item x="30"/>
        <item x="47"/>
        <item x="67"/>
        <item x="99"/>
        <item x="161"/>
        <item x="173"/>
        <item x="89"/>
        <item x="5"/>
        <item x="138"/>
        <item x="145"/>
        <item x="124"/>
        <item x="110"/>
        <item x="34"/>
        <item x="140"/>
        <item x="205"/>
        <item x="76"/>
        <item x="70"/>
        <item x="25"/>
        <item x="87"/>
        <item x="62"/>
        <item x="24"/>
        <item x="153"/>
        <item x="192"/>
        <item x="42"/>
        <item x="147"/>
        <item x="112"/>
        <item x="58"/>
        <item x="130"/>
        <item x="179"/>
        <item x="218"/>
        <item x="122"/>
        <item x="88"/>
        <item x="86"/>
        <item x="7"/>
        <item x="143"/>
        <item x="3"/>
        <item x="108"/>
        <item x="101"/>
        <item x="95"/>
        <item x="8"/>
        <item x="4"/>
        <item x="51"/>
        <item x="195"/>
        <item x="162"/>
        <item x="73"/>
        <item x="85"/>
        <item x="107"/>
        <item x="79"/>
        <item x="46"/>
        <item x="84"/>
        <item x="117"/>
        <item x="26"/>
        <item x="98"/>
        <item x="157"/>
        <item x="14"/>
        <item x="151"/>
        <item x="196"/>
        <item x="74"/>
        <item x="1"/>
        <item x="71"/>
        <item x="94"/>
        <item x="125"/>
        <item x="12"/>
        <item x="111"/>
        <item x="152"/>
        <item x="45"/>
        <item x="17"/>
        <item x="93"/>
        <item x="96"/>
        <item x="49"/>
        <item x="55"/>
        <item x="22"/>
        <item x="39"/>
        <item x="92"/>
        <item x="40"/>
        <item x="83"/>
        <item x="123"/>
        <item x="169"/>
        <item x="198"/>
        <item x="19"/>
        <item x="128"/>
        <item x="150"/>
        <item x="194"/>
        <item x="78"/>
        <item x="115"/>
        <item x="216"/>
        <item x="20"/>
        <item x="29"/>
        <item x="206"/>
        <item x="54"/>
        <item x="91"/>
        <item x="208"/>
        <item x="41"/>
        <item x="131"/>
        <item x="182"/>
        <item x="176"/>
        <item x="31"/>
        <item x="33"/>
        <item x="209"/>
        <item x="56"/>
        <item x="158"/>
        <item x="97"/>
        <item x="113"/>
        <item x="229"/>
        <item x="155"/>
        <item x="181"/>
        <item x="148"/>
        <item x="44"/>
        <item x="184"/>
        <item x="77"/>
        <item x="9"/>
        <item x="116"/>
        <item x="227"/>
        <item x="102"/>
        <item x="2"/>
        <item x="167"/>
        <item x="43"/>
        <item x="120"/>
        <item x="90"/>
        <item x="6"/>
        <item x="64"/>
        <item x="177"/>
        <item x="174"/>
        <item x="214"/>
        <item x="199"/>
        <item x="223"/>
        <item x="203"/>
        <item x="114"/>
        <item x="207"/>
        <item x="75"/>
        <item x="193"/>
        <item x="63"/>
        <item x="160"/>
        <item x="204"/>
        <item x="224"/>
        <item x="82"/>
        <item x="210"/>
        <item x="234"/>
        <item x="81"/>
        <item x="126"/>
        <item x="139"/>
        <item x="21"/>
        <item x="185"/>
        <item x="200"/>
        <item x="232"/>
        <item x="180"/>
        <item x="238"/>
        <item x="201"/>
        <item x="236"/>
        <item x="235"/>
        <item x="165"/>
        <item x="217"/>
        <item x="149"/>
        <item x="231"/>
        <item x="230"/>
        <item x="191"/>
        <item x="57"/>
        <item x="186"/>
        <item x="164"/>
        <item x="221"/>
        <item x="132"/>
        <item x="68"/>
        <item x="127"/>
        <item x="190"/>
        <item x="228"/>
        <item x="166"/>
        <item x="163"/>
        <item x="48"/>
        <item x="28"/>
        <item x="35"/>
        <item x="36"/>
        <item x="233"/>
        <item t="default"/>
      </items>
    </pivotField>
  </pivotFields>
  <rowFields count="1">
    <field x="1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Ātrums" fld="6" subtotal="average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79C47-8A9D-424D-B139-D66CFBD30625}" name="PivotTable4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403:K423" firstHeaderRow="1" firstDataRow="1" firstDataCol="1"/>
  <pivotFields count="7">
    <pivotField showAll="0"/>
    <pivotField axis="axisRow" showAll="0">
      <items count="20">
        <item x="10"/>
        <item x="8"/>
        <item x="9"/>
        <item x="12"/>
        <item x="7"/>
        <item x="11"/>
        <item x="13"/>
        <item x="4"/>
        <item x="15"/>
        <item x="1"/>
        <item x="5"/>
        <item x="6"/>
        <item x="14"/>
        <item x="16"/>
        <item x="0"/>
        <item x="2"/>
        <item x="3"/>
        <item x="17"/>
        <item x="1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Ātrums" fld="6" subtotal="average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A30" sqref="A30"/>
    </sheetView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1" t="s">
        <v>3887</v>
      </c>
    </row>
    <row r="2" spans="1:2" ht="16.899999999999999" customHeight="1" x14ac:dyDescent="0.2">
      <c r="A2" s="11" t="s">
        <v>3912</v>
      </c>
    </row>
    <row r="3" spans="1:2" ht="16.899999999999999" customHeight="1" x14ac:dyDescent="0.2">
      <c r="A3" s="11" t="s">
        <v>43</v>
      </c>
    </row>
    <row r="4" spans="1:2" ht="16.899999999999999" customHeight="1" x14ac:dyDescent="0.2">
      <c r="A4" s="45" t="s">
        <v>44</v>
      </c>
    </row>
    <row r="5" spans="1:2" ht="16.899999999999999" customHeight="1" x14ac:dyDescent="0.2">
      <c r="A5" s="36" t="s">
        <v>45</v>
      </c>
    </row>
    <row r="6" spans="1:2" ht="16.899999999999999" customHeight="1" x14ac:dyDescent="0.2">
      <c r="A6" s="11" t="s">
        <v>46</v>
      </c>
    </row>
    <row r="7" spans="1:2" ht="16.899999999999999" customHeight="1" x14ac:dyDescent="0.2">
      <c r="A7" s="11" t="s">
        <v>47</v>
      </c>
    </row>
    <row r="8" spans="1:2" ht="16.899999999999999" customHeight="1" x14ac:dyDescent="0.2">
      <c r="A8" s="11" t="s">
        <v>48</v>
      </c>
    </row>
    <row r="9" spans="1:2" ht="16.899999999999999" customHeight="1" x14ac:dyDescent="0.2">
      <c r="A9" s="11" t="s">
        <v>49</v>
      </c>
    </row>
    <row r="10" spans="1:2" ht="16.899999999999999" customHeight="1" x14ac:dyDescent="0.2">
      <c r="A10" s="11" t="s">
        <v>50</v>
      </c>
    </row>
    <row r="11" spans="1:2" ht="16.899999999999999" customHeight="1" x14ac:dyDescent="0.2">
      <c r="A11" s="11" t="s">
        <v>51</v>
      </c>
    </row>
    <row r="12" spans="1:2" ht="16.899999999999999" customHeight="1" x14ac:dyDescent="0.2">
      <c r="A12" s="36" t="s">
        <v>3908</v>
      </c>
    </row>
    <row r="13" spans="1:2" ht="16.899999999999999" customHeight="1" x14ac:dyDescent="0.2">
      <c r="A13" s="36" t="s">
        <v>3888</v>
      </c>
    </row>
    <row r="14" spans="1:2" ht="16.899999999999999" customHeight="1" x14ac:dyDescent="0.2">
      <c r="A14" s="12" t="s">
        <v>3898</v>
      </c>
      <c r="B14" s="7"/>
    </row>
    <row r="15" spans="1:2" ht="16.899999999999999" customHeight="1" x14ac:dyDescent="0.2">
      <c r="A15" s="13" t="s">
        <v>3899</v>
      </c>
    </row>
    <row r="16" spans="1:2" ht="16.899999999999999" customHeight="1" x14ac:dyDescent="0.2">
      <c r="A16" s="35" t="s">
        <v>59</v>
      </c>
    </row>
    <row r="17" spans="1:13" ht="16.149999999999999" customHeight="1" x14ac:dyDescent="0.2">
      <c r="A17" s="13" t="s">
        <v>60</v>
      </c>
    </row>
    <row r="18" spans="1:13" ht="16.899999999999999" customHeight="1" x14ac:dyDescent="0.2">
      <c r="A18" s="13" t="s">
        <v>3900</v>
      </c>
    </row>
    <row r="19" spans="1:13" ht="16.899999999999999" customHeight="1" x14ac:dyDescent="0.2">
      <c r="A19" s="13" t="s">
        <v>3901</v>
      </c>
    </row>
    <row r="20" spans="1:13" ht="16.899999999999999" customHeight="1" x14ac:dyDescent="0.2">
      <c r="A20" s="13" t="s">
        <v>3902</v>
      </c>
    </row>
    <row r="21" spans="1:13" ht="16.899999999999999" customHeight="1" x14ac:dyDescent="0.25">
      <c r="A21" s="33" t="s">
        <v>3903</v>
      </c>
    </row>
    <row r="22" spans="1:13" ht="16.899999999999999" customHeight="1" x14ac:dyDescent="0.2">
      <c r="A22" s="33" t="s">
        <v>102</v>
      </c>
    </row>
    <row r="23" spans="1:13" ht="16.899999999999999" customHeight="1" x14ac:dyDescent="0.2">
      <c r="A23" s="13" t="s">
        <v>103</v>
      </c>
    </row>
    <row r="24" spans="1:13" ht="16.899999999999999" customHeight="1" x14ac:dyDescent="0.2">
      <c r="A24" s="43" t="s">
        <v>3882</v>
      </c>
    </row>
    <row r="25" spans="1:13" ht="16.899999999999999" customHeight="1" x14ac:dyDescent="0.2">
      <c r="A25" s="44" t="s">
        <v>3904</v>
      </c>
    </row>
    <row r="26" spans="1:13" ht="16.899999999999999" customHeight="1" x14ac:dyDescent="0.2">
      <c r="A26" s="44" t="s">
        <v>3911</v>
      </c>
    </row>
    <row r="27" spans="1:13" ht="16.899999999999999" customHeight="1" x14ac:dyDescent="0.25">
      <c r="A27" s="42" t="s">
        <v>3910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</row>
    <row r="28" spans="1:13" ht="16.899999999999999" customHeight="1" x14ac:dyDescent="0.25">
      <c r="A28" s="42" t="s">
        <v>3909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D4" sqref="D4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27" customWidth="1"/>
    <col min="6" max="6" width="33.7109375" customWidth="1"/>
  </cols>
  <sheetData>
    <row r="1" spans="1:6" ht="15" customHeight="1" x14ac:dyDescent="0.2">
      <c r="A1" s="61" t="s">
        <v>31</v>
      </c>
      <c r="B1" s="62"/>
      <c r="D1" s="77" t="s">
        <v>3915</v>
      </c>
      <c r="F1" s="10">
        <v>46025</v>
      </c>
    </row>
    <row r="2" spans="1:6" ht="15" customHeight="1" x14ac:dyDescent="0.2">
      <c r="A2" s="8" t="s">
        <v>32</v>
      </c>
      <c r="B2" s="76">
        <v>41883</v>
      </c>
      <c r="F2" s="10">
        <f>F1+7</f>
        <v>46032</v>
      </c>
    </row>
    <row r="3" spans="1:6" ht="15" customHeight="1" x14ac:dyDescent="0.2">
      <c r="A3" s="8" t="s">
        <v>33</v>
      </c>
      <c r="B3" s="76">
        <v>42153</v>
      </c>
      <c r="F3" s="10">
        <f t="shared" ref="F3:F52" si="0">F2+7</f>
        <v>46039</v>
      </c>
    </row>
    <row r="4" spans="1:6" ht="15" customHeight="1" x14ac:dyDescent="0.2">
      <c r="A4" s="8" t="s">
        <v>34</v>
      </c>
      <c r="B4" s="76">
        <v>42139</v>
      </c>
      <c r="F4" s="10">
        <f t="shared" si="0"/>
        <v>46046</v>
      </c>
    </row>
    <row r="5" spans="1:6" ht="15" customHeight="1" x14ac:dyDescent="0.2">
      <c r="A5" s="8" t="s">
        <v>35</v>
      </c>
      <c r="B5" s="76">
        <v>41939</v>
      </c>
      <c r="F5" s="10">
        <f t="shared" si="0"/>
        <v>46053</v>
      </c>
    </row>
    <row r="6" spans="1:6" ht="15" customHeight="1" x14ac:dyDescent="0.2">
      <c r="A6" s="8" t="s">
        <v>36</v>
      </c>
      <c r="B6" s="76">
        <v>41943</v>
      </c>
      <c r="F6" s="10">
        <f t="shared" si="0"/>
        <v>46060</v>
      </c>
    </row>
    <row r="7" spans="1:6" ht="15" customHeight="1" x14ac:dyDescent="0.2">
      <c r="A7" s="8" t="s">
        <v>37</v>
      </c>
      <c r="B7" s="76">
        <v>41995</v>
      </c>
      <c r="F7" s="10">
        <f t="shared" si="0"/>
        <v>46067</v>
      </c>
    </row>
    <row r="8" spans="1:6" ht="15" customHeight="1" x14ac:dyDescent="0.2">
      <c r="A8" s="8" t="s">
        <v>38</v>
      </c>
      <c r="B8" s="76">
        <v>42006</v>
      </c>
      <c r="F8" s="10">
        <f t="shared" si="0"/>
        <v>46074</v>
      </c>
    </row>
    <row r="9" spans="1:6" ht="15" customHeight="1" x14ac:dyDescent="0.2">
      <c r="A9" s="8" t="s">
        <v>39</v>
      </c>
      <c r="B9" s="76">
        <v>42079</v>
      </c>
      <c r="F9" s="10">
        <f t="shared" si="0"/>
        <v>46081</v>
      </c>
    </row>
    <row r="10" spans="1:6" ht="15" customHeight="1" x14ac:dyDescent="0.2">
      <c r="A10" s="8" t="s">
        <v>40</v>
      </c>
      <c r="B10" s="76">
        <v>42083</v>
      </c>
      <c r="F10" s="10">
        <f t="shared" si="0"/>
        <v>46088</v>
      </c>
    </row>
    <row r="11" spans="1:6" ht="15" customHeight="1" x14ac:dyDescent="0.2">
      <c r="A11" s="8" t="s">
        <v>41</v>
      </c>
      <c r="B11" s="76">
        <v>42086</v>
      </c>
      <c r="F11" s="10">
        <f t="shared" si="0"/>
        <v>46095</v>
      </c>
    </row>
    <row r="12" spans="1:6" ht="15" customHeight="1" x14ac:dyDescent="0.2">
      <c r="A12" s="8" t="s">
        <v>42</v>
      </c>
      <c r="B12" s="76">
        <v>42090</v>
      </c>
      <c r="F12" s="10">
        <f t="shared" si="0"/>
        <v>46102</v>
      </c>
    </row>
    <row r="13" spans="1:6" ht="15" customHeight="1" x14ac:dyDescent="0.2">
      <c r="F13" s="10">
        <f t="shared" si="0"/>
        <v>46109</v>
      </c>
    </row>
    <row r="14" spans="1:6" ht="15" customHeight="1" x14ac:dyDescent="0.2">
      <c r="A14" s="2">
        <v>1</v>
      </c>
      <c r="B14" s="63" t="s">
        <v>3886</v>
      </c>
      <c r="F14" s="10">
        <f t="shared" si="0"/>
        <v>46116</v>
      </c>
    </row>
    <row r="15" spans="1:6" ht="15" customHeight="1" x14ac:dyDescent="0.2">
      <c r="A15" s="2"/>
      <c r="B15" s="63"/>
      <c r="C15" t="s">
        <v>3885</v>
      </c>
      <c r="F15" s="10">
        <f t="shared" si="0"/>
        <v>46123</v>
      </c>
    </row>
    <row r="16" spans="1:6" ht="15" customHeight="1" x14ac:dyDescent="0.2">
      <c r="A16" s="2"/>
      <c r="B16" s="63"/>
      <c r="F16" s="10">
        <f t="shared" si="0"/>
        <v>46130</v>
      </c>
    </row>
    <row r="17" spans="1:6" ht="15" customHeight="1" x14ac:dyDescent="0.2">
      <c r="A17" s="2"/>
      <c r="F17" s="10">
        <f t="shared" si="0"/>
        <v>46137</v>
      </c>
    </row>
    <row r="18" spans="1:6" ht="15" customHeight="1" x14ac:dyDescent="0.2">
      <c r="A18" s="2">
        <v>2</v>
      </c>
      <c r="B18" s="63" t="s">
        <v>3913</v>
      </c>
      <c r="F18" s="10">
        <f t="shared" si="0"/>
        <v>46144</v>
      </c>
    </row>
    <row r="19" spans="1:6" ht="15" customHeight="1" x14ac:dyDescent="0.2">
      <c r="A19" s="2"/>
      <c r="B19" s="63"/>
      <c r="C19" t="s">
        <v>3885</v>
      </c>
      <c r="F19" s="10">
        <f t="shared" si="0"/>
        <v>46151</v>
      </c>
    </row>
    <row r="20" spans="1:6" ht="15" customHeight="1" x14ac:dyDescent="0.2">
      <c r="A20" s="2"/>
      <c r="B20" s="63"/>
      <c r="F20" s="10">
        <f t="shared" si="0"/>
        <v>46158</v>
      </c>
    </row>
    <row r="21" spans="1:6" ht="15" customHeight="1" x14ac:dyDescent="0.2">
      <c r="A21" s="2"/>
      <c r="F21" s="10">
        <f t="shared" si="0"/>
        <v>46165</v>
      </c>
    </row>
    <row r="22" spans="1:6" ht="15" customHeight="1" x14ac:dyDescent="0.2">
      <c r="A22" s="2">
        <v>3</v>
      </c>
      <c r="B22" s="63" t="s">
        <v>3914</v>
      </c>
      <c r="F22" s="10">
        <f t="shared" si="0"/>
        <v>46172</v>
      </c>
    </row>
    <row r="23" spans="1:6" ht="15" customHeight="1" x14ac:dyDescent="0.2">
      <c r="B23" s="63"/>
      <c r="C23" t="s">
        <v>3885</v>
      </c>
      <c r="F23" s="10">
        <f t="shared" si="0"/>
        <v>46179</v>
      </c>
    </row>
    <row r="24" spans="1:6" ht="15" customHeight="1" x14ac:dyDescent="0.2">
      <c r="B24" s="63"/>
      <c r="F24" s="10">
        <f t="shared" si="0"/>
        <v>46186</v>
      </c>
    </row>
    <row r="25" spans="1:6" ht="15" customHeight="1" x14ac:dyDescent="0.2">
      <c r="F25" s="10">
        <f t="shared" si="0"/>
        <v>46193</v>
      </c>
    </row>
    <row r="26" spans="1:6" ht="15" customHeight="1" x14ac:dyDescent="0.2">
      <c r="F26" s="10">
        <f t="shared" si="0"/>
        <v>46200</v>
      </c>
    </row>
    <row r="27" spans="1:6" ht="15" customHeight="1" x14ac:dyDescent="0.2">
      <c r="F27" s="10">
        <f t="shared" si="0"/>
        <v>46207</v>
      </c>
    </row>
    <row r="28" spans="1:6" ht="15" customHeight="1" x14ac:dyDescent="0.2">
      <c r="F28" s="10">
        <f t="shared" si="0"/>
        <v>46214</v>
      </c>
    </row>
    <row r="29" spans="1:6" ht="15" customHeight="1" x14ac:dyDescent="0.2">
      <c r="F29" s="10">
        <f t="shared" si="0"/>
        <v>46221</v>
      </c>
    </row>
    <row r="30" spans="1:6" ht="15" customHeight="1" x14ac:dyDescent="0.2">
      <c r="F30" s="10">
        <f t="shared" si="0"/>
        <v>46228</v>
      </c>
    </row>
    <row r="31" spans="1:6" ht="15" customHeight="1" x14ac:dyDescent="0.2">
      <c r="F31" s="10">
        <f t="shared" si="0"/>
        <v>46235</v>
      </c>
    </row>
    <row r="32" spans="1:6" ht="15" customHeight="1" x14ac:dyDescent="0.2">
      <c r="F32" s="10">
        <f t="shared" si="0"/>
        <v>46242</v>
      </c>
    </row>
    <row r="33" spans="6:6" ht="15" customHeight="1" x14ac:dyDescent="0.2">
      <c r="F33" s="10">
        <f t="shared" si="0"/>
        <v>46249</v>
      </c>
    </row>
    <row r="34" spans="6:6" ht="15" customHeight="1" x14ac:dyDescent="0.2">
      <c r="F34" s="10">
        <f t="shared" si="0"/>
        <v>46256</v>
      </c>
    </row>
    <row r="35" spans="6:6" ht="15" customHeight="1" x14ac:dyDescent="0.2">
      <c r="F35" s="10">
        <f t="shared" si="0"/>
        <v>46263</v>
      </c>
    </row>
    <row r="36" spans="6:6" ht="15" customHeight="1" x14ac:dyDescent="0.2">
      <c r="F36" s="10">
        <f t="shared" si="0"/>
        <v>46270</v>
      </c>
    </row>
    <row r="37" spans="6:6" ht="15" customHeight="1" x14ac:dyDescent="0.2">
      <c r="F37" s="10">
        <f t="shared" si="0"/>
        <v>46277</v>
      </c>
    </row>
    <row r="38" spans="6:6" ht="15" customHeight="1" x14ac:dyDescent="0.2">
      <c r="F38" s="10">
        <f t="shared" si="0"/>
        <v>46284</v>
      </c>
    </row>
    <row r="39" spans="6:6" ht="15" customHeight="1" x14ac:dyDescent="0.2">
      <c r="F39" s="10">
        <f t="shared" si="0"/>
        <v>46291</v>
      </c>
    </row>
    <row r="40" spans="6:6" ht="15" customHeight="1" x14ac:dyDescent="0.2">
      <c r="F40" s="10">
        <f t="shared" si="0"/>
        <v>46298</v>
      </c>
    </row>
    <row r="41" spans="6:6" ht="15" customHeight="1" x14ac:dyDescent="0.2">
      <c r="F41" s="10">
        <f t="shared" si="0"/>
        <v>46305</v>
      </c>
    </row>
    <row r="42" spans="6:6" ht="15" customHeight="1" x14ac:dyDescent="0.2">
      <c r="F42" s="10">
        <f t="shared" si="0"/>
        <v>46312</v>
      </c>
    </row>
    <row r="43" spans="6:6" ht="15" customHeight="1" x14ac:dyDescent="0.2">
      <c r="F43" s="10">
        <f t="shared" si="0"/>
        <v>46319</v>
      </c>
    </row>
    <row r="44" spans="6:6" ht="15" customHeight="1" x14ac:dyDescent="0.2">
      <c r="F44" s="10">
        <f t="shared" si="0"/>
        <v>46326</v>
      </c>
    </row>
    <row r="45" spans="6:6" ht="15" customHeight="1" x14ac:dyDescent="0.2">
      <c r="F45" s="10">
        <f t="shared" si="0"/>
        <v>46333</v>
      </c>
    </row>
    <row r="46" spans="6:6" ht="15" customHeight="1" x14ac:dyDescent="0.2">
      <c r="F46" s="10">
        <f t="shared" si="0"/>
        <v>46340</v>
      </c>
    </row>
    <row r="47" spans="6:6" ht="15" customHeight="1" x14ac:dyDescent="0.2">
      <c r="F47" s="10">
        <f t="shared" si="0"/>
        <v>46347</v>
      </c>
    </row>
    <row r="48" spans="6:6" ht="15" customHeight="1" x14ac:dyDescent="0.2">
      <c r="F48" s="10">
        <f t="shared" si="0"/>
        <v>46354</v>
      </c>
    </row>
    <row r="49" spans="6:6" ht="15" customHeight="1" x14ac:dyDescent="0.2">
      <c r="F49" s="10">
        <f t="shared" si="0"/>
        <v>46361</v>
      </c>
    </row>
    <row r="50" spans="6:6" ht="15" customHeight="1" x14ac:dyDescent="0.2">
      <c r="F50" s="10">
        <f t="shared" si="0"/>
        <v>46368</v>
      </c>
    </row>
    <row r="51" spans="6:6" ht="15" customHeight="1" x14ac:dyDescent="0.2">
      <c r="F51" s="10">
        <f t="shared" si="0"/>
        <v>46375</v>
      </c>
    </row>
    <row r="52" spans="6:6" ht="15" customHeight="1" x14ac:dyDescent="0.2">
      <c r="F52" s="10">
        <f t="shared" si="0"/>
        <v>46382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L28" sqref="L28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63" t="s">
        <v>45</v>
      </c>
      <c r="R2" s="63"/>
      <c r="S2" s="63"/>
      <c r="T2" s="63"/>
      <c r="U2" s="63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63"/>
      <c r="R3" s="63"/>
      <c r="S3" s="63"/>
      <c r="T3" s="63"/>
      <c r="U3" s="63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63"/>
      <c r="R4" s="63"/>
      <c r="S4" s="63"/>
      <c r="T4" s="63"/>
      <c r="U4" s="63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63"/>
      <c r="R5" s="63"/>
      <c r="S5" s="63"/>
      <c r="T5" s="63"/>
      <c r="U5" s="63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63"/>
      <c r="R6" s="63"/>
      <c r="S6" s="63"/>
      <c r="T6" s="63"/>
      <c r="U6" s="63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X8" sqref="X8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3" t="s">
        <v>46</v>
      </c>
      <c r="U3" s="63"/>
      <c r="V3" s="63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3"/>
      <c r="U4" s="63"/>
      <c r="V4" s="63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3"/>
      <c r="U5" s="63"/>
      <c r="V5" s="63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3"/>
      <c r="U6" s="63"/>
      <c r="V6" s="63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topLeftCell="A5" workbookViewId="0">
      <selection activeCell="J64" sqref="J64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0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6384" width="9.140625" style="1"/>
  </cols>
  <sheetData>
    <row r="1" spans="1:19" ht="15" customHeight="1" x14ac:dyDescent="0.2">
      <c r="A1" s="67" t="s">
        <v>22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78" t="s">
        <v>16</v>
      </c>
      <c r="M2" s="46"/>
      <c r="N2" s="46"/>
      <c r="O2" s="46"/>
      <c r="P2" s="46"/>
      <c r="Q2" s="46"/>
      <c r="R2" s="46"/>
    </row>
    <row r="3" spans="1:19" ht="15" customHeight="1" x14ac:dyDescent="0.2">
      <c r="A3" s="1">
        <v>89</v>
      </c>
      <c r="B3" s="14">
        <f>(180-A3)/2</f>
        <v>45.5</v>
      </c>
      <c r="C3" s="14">
        <f>SQRT(((D3+E3+F3)/2)*(((D3+E3+F3)/2)-D3)*(((D3+E3+F3)/2)-E3)*(((D3+E3+F3)/2)-F3))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SUM(D3:F3)</f>
        <v>26.693900138398185</v>
      </c>
      <c r="H3" s="14">
        <f>SQRT(E3*E3-(D3/2)*(D3/2))</f>
        <v>5.5968406613466888</v>
      </c>
      <c r="I3" s="14" t="str">
        <f>IF(A3&gt;90,"platleņķa","cits")</f>
        <v>cits</v>
      </c>
      <c r="J3" s="14">
        <f>COUNT(A3:A70)</f>
        <v>68</v>
      </c>
      <c r="K3" s="14">
        <f>MAX(A3:A70)</f>
        <v>130</v>
      </c>
    </row>
    <row r="4" spans="1:19" ht="15" customHeight="1" x14ac:dyDescent="0.2">
      <c r="A4" s="1">
        <v>124</v>
      </c>
      <c r="B4" s="14">
        <f t="shared" ref="B4:B67" si="0">(180-A4)/2</f>
        <v>28</v>
      </c>
      <c r="C4" s="14"/>
      <c r="D4" s="1">
        <v>11</v>
      </c>
      <c r="E4" s="1">
        <v>6.2291352787897161</v>
      </c>
      <c r="F4" s="1">
        <v>6.2291352787897161</v>
      </c>
      <c r="G4" s="1">
        <f t="shared" ref="G4:G67" si="1">SUM(D4:F4)</f>
        <v>23.458270557579432</v>
      </c>
      <c r="H4" s="14">
        <f t="shared" ref="H4:H67" si="2">SQRT(E4*E4-(D4/2)*(D4/2))</f>
        <v>2.9244018741381339</v>
      </c>
      <c r="I4" s="14" t="str">
        <f t="shared" ref="I4:I67" si="3">IF(A4&gt;90,"platleņķa","cits")</f>
        <v>platleņķa</v>
      </c>
      <c r="L4" s="34">
        <v>7</v>
      </c>
      <c r="M4" s="63" t="s">
        <v>47</v>
      </c>
      <c r="N4" s="63"/>
      <c r="O4" s="63"/>
      <c r="P4" s="63"/>
      <c r="Q4" s="63"/>
      <c r="R4" s="63"/>
      <c r="S4" s="1" t="s">
        <v>3885</v>
      </c>
    </row>
    <row r="5" spans="1:19" ht="15" customHeight="1" x14ac:dyDescent="0.2">
      <c r="A5" s="1">
        <v>39</v>
      </c>
      <c r="B5" s="14">
        <f t="shared" si="0"/>
        <v>70.5</v>
      </c>
      <c r="C5" s="14"/>
      <c r="D5" s="1">
        <v>12</v>
      </c>
      <c r="E5" s="1">
        <v>17.974465874585558</v>
      </c>
      <c r="F5" s="1">
        <v>17.974465874585558</v>
      </c>
      <c r="G5" s="1">
        <f t="shared" si="1"/>
        <v>47.948931749171116</v>
      </c>
      <c r="H5" s="14">
        <f t="shared" si="2"/>
        <v>16.943477313604809</v>
      </c>
      <c r="I5" s="14" t="str">
        <f t="shared" si="3"/>
        <v>cits</v>
      </c>
      <c r="L5" s="34"/>
      <c r="M5" s="63"/>
      <c r="N5" s="63"/>
      <c r="O5" s="63"/>
      <c r="P5" s="63"/>
      <c r="Q5" s="63"/>
      <c r="R5" s="63"/>
    </row>
    <row r="6" spans="1:19" ht="15" customHeight="1" x14ac:dyDescent="0.2">
      <c r="A6" s="1">
        <v>99</v>
      </c>
      <c r="B6" s="14">
        <f t="shared" si="0"/>
        <v>40.5</v>
      </c>
      <c r="C6" s="14"/>
      <c r="D6" s="1">
        <v>17</v>
      </c>
      <c r="E6" s="1">
        <v>11.178239499071671</v>
      </c>
      <c r="F6" s="1">
        <v>11.178239499071671</v>
      </c>
      <c r="G6" s="1">
        <f t="shared" si="1"/>
        <v>39.356478998143345</v>
      </c>
      <c r="H6" s="14">
        <f t="shared" si="2"/>
        <v>7.2596858264394664</v>
      </c>
      <c r="I6" s="14" t="str">
        <f t="shared" si="3"/>
        <v>platleņķa</v>
      </c>
      <c r="L6" s="34"/>
    </row>
    <row r="7" spans="1:19" ht="15" customHeight="1" x14ac:dyDescent="0.2">
      <c r="A7" s="1">
        <v>38</v>
      </c>
      <c r="B7" s="14">
        <f t="shared" si="0"/>
        <v>71</v>
      </c>
      <c r="C7" s="14"/>
      <c r="D7" s="1">
        <v>26</v>
      </c>
      <c r="E7" s="1">
        <v>39.930195327844146</v>
      </c>
      <c r="F7" s="1">
        <v>39.930195327844146</v>
      </c>
      <c r="G7" s="1">
        <f t="shared" si="1"/>
        <v>105.86039065568829</v>
      </c>
      <c r="H7" s="14">
        <f t="shared" si="2"/>
        <v>37.754741409785694</v>
      </c>
      <c r="I7" s="14" t="str">
        <f t="shared" si="3"/>
        <v>cits</v>
      </c>
      <c r="L7" s="34">
        <v>8</v>
      </c>
      <c r="M7" s="36" t="s">
        <v>48</v>
      </c>
      <c r="N7" s="36"/>
      <c r="O7" s="36"/>
      <c r="P7" s="36"/>
      <c r="Q7" s="36"/>
      <c r="R7" s="36"/>
      <c r="S7" s="1" t="s">
        <v>3885</v>
      </c>
    </row>
    <row r="8" spans="1:19" ht="15" customHeight="1" x14ac:dyDescent="0.2">
      <c r="A8" s="1">
        <v>100</v>
      </c>
      <c r="B8" s="14">
        <f t="shared" si="0"/>
        <v>40</v>
      </c>
      <c r="C8" s="14"/>
      <c r="D8" s="1">
        <v>29</v>
      </c>
      <c r="E8" s="1">
        <v>18.928405695318041</v>
      </c>
      <c r="F8" s="1">
        <v>18.928405695318041</v>
      </c>
      <c r="G8" s="1">
        <f t="shared" si="1"/>
        <v>66.856811390636082</v>
      </c>
      <c r="H8" s="14">
        <f t="shared" si="2"/>
        <v>12.166944652070564</v>
      </c>
      <c r="I8" s="14" t="str">
        <f t="shared" si="3"/>
        <v>platleņķa</v>
      </c>
      <c r="L8" s="34"/>
    </row>
    <row r="9" spans="1:19" ht="15" customHeight="1" x14ac:dyDescent="0.2">
      <c r="A9" s="1">
        <v>54</v>
      </c>
      <c r="B9" s="14">
        <f t="shared" si="0"/>
        <v>63</v>
      </c>
      <c r="C9" s="14"/>
      <c r="D9" s="1">
        <v>31</v>
      </c>
      <c r="E9" s="1">
        <v>34.141683601071634</v>
      </c>
      <c r="F9" s="1">
        <v>34.141683601071634</v>
      </c>
      <c r="G9" s="1">
        <f t="shared" si="1"/>
        <v>99.283367202143268</v>
      </c>
      <c r="H9" s="14">
        <f t="shared" si="2"/>
        <v>30.420462835329836</v>
      </c>
      <c r="I9" s="14" t="str">
        <f t="shared" si="3"/>
        <v>cits</v>
      </c>
      <c r="L9" s="34">
        <v>9</v>
      </c>
      <c r="M9" s="63" t="s">
        <v>49</v>
      </c>
      <c r="N9" s="63"/>
      <c r="O9" s="63"/>
      <c r="P9" s="63"/>
      <c r="Q9" s="63"/>
      <c r="R9" s="63"/>
      <c r="S9" s="1" t="s">
        <v>3885</v>
      </c>
    </row>
    <row r="10" spans="1:19" ht="15" customHeight="1" x14ac:dyDescent="0.2">
      <c r="A10" s="1">
        <v>26</v>
      </c>
      <c r="B10" s="14">
        <f t="shared" si="0"/>
        <v>77</v>
      </c>
      <c r="C10" s="14"/>
      <c r="D10" s="1">
        <v>33</v>
      </c>
      <c r="E10" s="1">
        <v>73.349289462665709</v>
      </c>
      <c r="F10" s="1">
        <v>73.349289462665709</v>
      </c>
      <c r="G10" s="1">
        <f t="shared" si="1"/>
        <v>179.69857892533142</v>
      </c>
      <c r="H10" s="14">
        <f t="shared" si="2"/>
        <v>71.469351925688557</v>
      </c>
      <c r="I10" s="14" t="str">
        <f t="shared" si="3"/>
        <v>cits</v>
      </c>
      <c r="L10" s="34"/>
      <c r="M10" s="63"/>
      <c r="N10" s="63"/>
      <c r="O10" s="63"/>
      <c r="P10" s="63"/>
      <c r="Q10" s="63"/>
      <c r="R10" s="63"/>
    </row>
    <row r="11" spans="1:19" ht="15" customHeight="1" x14ac:dyDescent="0.2">
      <c r="A11" s="1">
        <v>126</v>
      </c>
      <c r="B11" s="14">
        <f t="shared" si="0"/>
        <v>27</v>
      </c>
      <c r="C11" s="14"/>
      <c r="D11" s="1">
        <v>37</v>
      </c>
      <c r="E11" s="1">
        <v>20.763035396235676</v>
      </c>
      <c r="F11" s="1">
        <v>20.763035396235676</v>
      </c>
      <c r="G11" s="1">
        <f t="shared" si="1"/>
        <v>78.526070792471359</v>
      </c>
      <c r="H11" s="14">
        <f t="shared" si="2"/>
        <v>9.4262208156469338</v>
      </c>
      <c r="I11" s="14" t="str">
        <f t="shared" si="3"/>
        <v>platleņķa</v>
      </c>
      <c r="L11" s="34"/>
      <c r="M11" s="63"/>
      <c r="N11" s="63"/>
      <c r="O11" s="63"/>
      <c r="P11" s="63"/>
      <c r="Q11" s="63"/>
      <c r="R11" s="63"/>
    </row>
    <row r="12" spans="1:19" ht="15" customHeight="1" x14ac:dyDescent="0.2">
      <c r="A12" s="1">
        <v>89</v>
      </c>
      <c r="B12" s="14">
        <f t="shared" si="0"/>
        <v>45.5</v>
      </c>
      <c r="C12" s="14"/>
      <c r="D12" s="1">
        <v>40</v>
      </c>
      <c r="E12" s="1">
        <v>28.534363887996701</v>
      </c>
      <c r="F12" s="1">
        <v>28.534363887996701</v>
      </c>
      <c r="G12" s="1">
        <f t="shared" si="1"/>
        <v>97.068727775993409</v>
      </c>
      <c r="H12" s="14">
        <f t="shared" si="2"/>
        <v>20.352147859442507</v>
      </c>
      <c r="I12" s="14" t="str">
        <f t="shared" si="3"/>
        <v>cits</v>
      </c>
    </row>
    <row r="13" spans="1:19" ht="15" customHeight="1" x14ac:dyDescent="0.2">
      <c r="A13" s="1">
        <v>37</v>
      </c>
      <c r="B13" s="14">
        <f t="shared" si="0"/>
        <v>71.5</v>
      </c>
      <c r="C13" s="14"/>
      <c r="D13" s="1">
        <v>41</v>
      </c>
      <c r="E13" s="1">
        <v>64.606678742931337</v>
      </c>
      <c r="F13" s="1">
        <v>64.606678742931337</v>
      </c>
      <c r="G13" s="1">
        <f t="shared" si="1"/>
        <v>170.21335748586267</v>
      </c>
      <c r="H13" s="14">
        <f t="shared" si="2"/>
        <v>61.2680417362293</v>
      </c>
      <c r="I13" s="14" t="str">
        <f t="shared" si="3"/>
        <v>cits</v>
      </c>
      <c r="L13" s="34">
        <v>10</v>
      </c>
      <c r="M13" s="63" t="s">
        <v>50</v>
      </c>
      <c r="N13" s="63"/>
      <c r="O13" s="63"/>
      <c r="P13" s="63"/>
      <c r="Q13" s="63"/>
      <c r="R13" s="63"/>
      <c r="S13" s="1" t="s">
        <v>3885</v>
      </c>
    </row>
    <row r="14" spans="1:19" ht="15" customHeight="1" x14ac:dyDescent="0.2">
      <c r="A14" s="1">
        <v>38</v>
      </c>
      <c r="B14" s="14">
        <f t="shared" si="0"/>
        <v>71</v>
      </c>
      <c r="C14" s="14"/>
      <c r="D14" s="1">
        <v>41</v>
      </c>
      <c r="E14" s="1">
        <v>62.966846478523465</v>
      </c>
      <c r="F14" s="1">
        <v>62.966846478523465</v>
      </c>
      <c r="G14" s="1">
        <f t="shared" si="1"/>
        <v>166.93369295704693</v>
      </c>
      <c r="H14" s="14">
        <f t="shared" si="2"/>
        <v>59.536322992354364</v>
      </c>
      <c r="I14" s="14" t="str">
        <f t="shared" si="3"/>
        <v>cits</v>
      </c>
      <c r="L14" s="34"/>
      <c r="M14" s="63"/>
      <c r="N14" s="63"/>
      <c r="O14" s="63"/>
      <c r="P14" s="63"/>
      <c r="Q14" s="63"/>
      <c r="R14" s="63"/>
    </row>
    <row r="15" spans="1:19" ht="15" customHeight="1" x14ac:dyDescent="0.2">
      <c r="A15" s="1">
        <v>14</v>
      </c>
      <c r="B15" s="14">
        <f t="shared" si="0"/>
        <v>83</v>
      </c>
      <c r="C15" s="14"/>
      <c r="D15" s="1">
        <v>43</v>
      </c>
      <c r="E15" s="1">
        <v>176.4184445346892</v>
      </c>
      <c r="F15" s="1">
        <v>176.4184445346892</v>
      </c>
      <c r="G15" s="1">
        <f t="shared" si="1"/>
        <v>395.8368890693784</v>
      </c>
      <c r="H15" s="14">
        <f t="shared" si="2"/>
        <v>175.1034482014538</v>
      </c>
      <c r="I15" s="14" t="str">
        <f t="shared" si="3"/>
        <v>cits</v>
      </c>
      <c r="L15" s="34"/>
      <c r="M15" s="63"/>
      <c r="N15" s="63"/>
      <c r="O15" s="63"/>
      <c r="P15" s="63"/>
      <c r="Q15" s="63"/>
      <c r="R15" s="63"/>
    </row>
    <row r="16" spans="1:19" ht="15" customHeight="1" x14ac:dyDescent="0.2">
      <c r="A16" s="1">
        <v>75</v>
      </c>
      <c r="B16" s="14">
        <f t="shared" si="0"/>
        <v>52.5</v>
      </c>
      <c r="C16" s="14"/>
      <c r="D16" s="1">
        <v>43</v>
      </c>
      <c r="E16" s="1">
        <v>35.317612081648505</v>
      </c>
      <c r="F16" s="1">
        <v>35.317612081648505</v>
      </c>
      <c r="G16" s="1">
        <f t="shared" si="1"/>
        <v>113.63522416329701</v>
      </c>
      <c r="H16" s="14">
        <f t="shared" si="2"/>
        <v>28.019345516085924</v>
      </c>
      <c r="I16" s="14" t="str">
        <f t="shared" si="3"/>
        <v>cits</v>
      </c>
    </row>
    <row r="17" spans="1:19" ht="15" customHeight="1" x14ac:dyDescent="0.2">
      <c r="A17" s="1">
        <v>67</v>
      </c>
      <c r="B17" s="14">
        <f t="shared" si="0"/>
        <v>56.5</v>
      </c>
      <c r="C17" s="14"/>
      <c r="D17" s="1">
        <v>43</v>
      </c>
      <c r="E17" s="1">
        <v>38.953722204074026</v>
      </c>
      <c r="F17" s="1">
        <v>38.953722204074026</v>
      </c>
      <c r="G17" s="1">
        <f t="shared" si="1"/>
        <v>120.90744440814805</v>
      </c>
      <c r="H17" s="14">
        <f t="shared" si="2"/>
        <v>32.482956662720369</v>
      </c>
      <c r="I17" s="14" t="str">
        <f t="shared" si="3"/>
        <v>cits</v>
      </c>
      <c r="L17" s="34">
        <v>11</v>
      </c>
      <c r="M17" s="63" t="s">
        <v>51</v>
      </c>
      <c r="N17" s="63"/>
      <c r="O17" s="63"/>
      <c r="P17" s="63"/>
      <c r="Q17" s="63"/>
      <c r="R17" s="63"/>
      <c r="S17" s="1" t="s">
        <v>3885</v>
      </c>
    </row>
    <row r="18" spans="1:19" ht="15" customHeight="1" x14ac:dyDescent="0.2">
      <c r="A18" s="1">
        <v>114</v>
      </c>
      <c r="B18" s="14">
        <f t="shared" si="0"/>
        <v>33</v>
      </c>
      <c r="C18" s="14"/>
      <c r="D18" s="1">
        <v>45</v>
      </c>
      <c r="E18" s="1">
        <v>26.828174088808819</v>
      </c>
      <c r="F18" s="1">
        <v>26.828174088808819</v>
      </c>
      <c r="G18" s="1">
        <f t="shared" si="1"/>
        <v>98.656348177617645</v>
      </c>
      <c r="H18" s="14">
        <f t="shared" si="2"/>
        <v>14.611670846943991</v>
      </c>
      <c r="I18" s="14" t="str">
        <f t="shared" si="3"/>
        <v>platleņķa</v>
      </c>
      <c r="M18" s="63"/>
      <c r="N18" s="63"/>
      <c r="O18" s="63"/>
      <c r="P18" s="63"/>
      <c r="Q18" s="63"/>
      <c r="R18" s="63"/>
    </row>
    <row r="19" spans="1:19" ht="15" customHeight="1" x14ac:dyDescent="0.2">
      <c r="A19" s="1">
        <v>124</v>
      </c>
      <c r="B19" s="14">
        <f t="shared" si="0"/>
        <v>28</v>
      </c>
      <c r="C19" s="14"/>
      <c r="D19" s="1">
        <v>45</v>
      </c>
      <c r="E19" s="1">
        <v>25.482826140503384</v>
      </c>
      <c r="F19" s="1">
        <v>25.482826140503384</v>
      </c>
      <c r="G19" s="1">
        <f t="shared" si="1"/>
        <v>95.965652281006783</v>
      </c>
      <c r="H19" s="14">
        <f t="shared" si="2"/>
        <v>11.963462212383281</v>
      </c>
      <c r="I19" s="14" t="str">
        <f t="shared" si="3"/>
        <v>platleņķa</v>
      </c>
      <c r="M19" s="63"/>
      <c r="N19" s="63"/>
      <c r="O19" s="63"/>
      <c r="P19" s="63"/>
      <c r="Q19" s="63"/>
      <c r="R19" s="63"/>
    </row>
    <row r="20" spans="1:19" ht="15" customHeight="1" x14ac:dyDescent="0.2">
      <c r="A20" s="1">
        <v>57</v>
      </c>
      <c r="B20" s="14">
        <f t="shared" si="0"/>
        <v>61.5</v>
      </c>
      <c r="C20" s="14"/>
      <c r="D20" s="1">
        <v>46</v>
      </c>
      <c r="E20" s="1">
        <v>48.201986247693242</v>
      </c>
      <c r="F20" s="1">
        <v>48.201986247693242</v>
      </c>
      <c r="G20" s="1">
        <f t="shared" si="1"/>
        <v>142.40397249538648</v>
      </c>
      <c r="H20" s="14">
        <f t="shared" si="2"/>
        <v>42.360730378769539</v>
      </c>
      <c r="I20" s="14" t="str">
        <f t="shared" si="3"/>
        <v>cits</v>
      </c>
    </row>
    <row r="21" spans="1:19" ht="15" customHeight="1" x14ac:dyDescent="0.2">
      <c r="A21" s="1">
        <v>90</v>
      </c>
      <c r="B21" s="14">
        <f t="shared" si="0"/>
        <v>45</v>
      </c>
      <c r="C21" s="14"/>
      <c r="D21" s="1">
        <v>47</v>
      </c>
      <c r="E21" s="1">
        <v>33.234018715767739</v>
      </c>
      <c r="F21" s="1">
        <v>33.234018715767739</v>
      </c>
      <c r="G21" s="1">
        <f t="shared" si="1"/>
        <v>113.46803743153549</v>
      </c>
      <c r="H21" s="14">
        <f t="shared" si="2"/>
        <v>23.500000000000011</v>
      </c>
      <c r="I21" s="14" t="str">
        <f t="shared" si="3"/>
        <v>cits</v>
      </c>
      <c r="L21" s="34">
        <v>12</v>
      </c>
      <c r="M21" s="63" t="s">
        <v>3907</v>
      </c>
      <c r="N21" s="63"/>
      <c r="O21" s="63"/>
      <c r="P21" s="63"/>
      <c r="Q21" s="63"/>
      <c r="R21" s="63"/>
      <c r="S21" s="1" t="s">
        <v>3884</v>
      </c>
    </row>
    <row r="22" spans="1:19" ht="15" customHeight="1" x14ac:dyDescent="0.2">
      <c r="A22" s="1">
        <v>45</v>
      </c>
      <c r="B22" s="14">
        <f t="shared" si="0"/>
        <v>67.5</v>
      </c>
      <c r="C22" s="14"/>
      <c r="D22" s="1">
        <v>47</v>
      </c>
      <c r="E22" s="1">
        <v>61.408459349189698</v>
      </c>
      <c r="F22" s="1">
        <v>61.408459349189698</v>
      </c>
      <c r="G22" s="1">
        <f t="shared" si="1"/>
        <v>169.8169186983794</v>
      </c>
      <c r="H22" s="14">
        <f t="shared" si="2"/>
        <v>56.734018715767732</v>
      </c>
      <c r="I22" s="14" t="str">
        <f t="shared" si="3"/>
        <v>cits</v>
      </c>
      <c r="M22" s="63"/>
      <c r="N22" s="63"/>
      <c r="O22" s="63"/>
      <c r="P22" s="63"/>
      <c r="Q22" s="63"/>
      <c r="R22" s="63"/>
    </row>
    <row r="23" spans="1:19" ht="15" customHeight="1" x14ac:dyDescent="0.2">
      <c r="A23" s="1">
        <v>85</v>
      </c>
      <c r="B23" s="14">
        <f t="shared" si="0"/>
        <v>47.5</v>
      </c>
      <c r="C23" s="14"/>
      <c r="D23" s="1">
        <v>58</v>
      </c>
      <c r="E23" s="1">
        <v>42.925429754745572</v>
      </c>
      <c r="F23" s="1">
        <v>42.925429754745572</v>
      </c>
      <c r="G23" s="1">
        <f t="shared" si="1"/>
        <v>143.85085950949116</v>
      </c>
      <c r="H23" s="14">
        <f t="shared" si="2"/>
        <v>31.647946531008873</v>
      </c>
      <c r="I23" s="14" t="str">
        <f t="shared" si="3"/>
        <v>cits</v>
      </c>
      <c r="M23" s="63"/>
      <c r="N23" s="63"/>
      <c r="O23" s="63"/>
      <c r="P23" s="63"/>
      <c r="Q23" s="63"/>
      <c r="R23" s="63"/>
    </row>
    <row r="24" spans="1:19" ht="15" customHeight="1" x14ac:dyDescent="0.2">
      <c r="A24" s="1">
        <v>42</v>
      </c>
      <c r="B24" s="14">
        <f t="shared" si="0"/>
        <v>69</v>
      </c>
      <c r="C24" s="14"/>
      <c r="D24" s="1">
        <v>58</v>
      </c>
      <c r="E24" s="1">
        <v>80.922415179134745</v>
      </c>
      <c r="F24" s="1">
        <v>80.922415179134745</v>
      </c>
      <c r="G24" s="1">
        <f t="shared" si="1"/>
        <v>219.84483035826952</v>
      </c>
      <c r="H24" s="14">
        <f t="shared" si="2"/>
        <v>75.547582876120245</v>
      </c>
      <c r="I24" s="14" t="str">
        <f t="shared" si="3"/>
        <v>cits</v>
      </c>
    </row>
    <row r="25" spans="1:19" ht="15" customHeight="1" x14ac:dyDescent="0.2">
      <c r="A25" s="1">
        <v>92</v>
      </c>
      <c r="B25" s="14">
        <f t="shared" si="0"/>
        <v>44</v>
      </c>
      <c r="C25" s="14"/>
      <c r="D25" s="1">
        <v>60</v>
      </c>
      <c r="E25" s="1">
        <v>41.704907730500366</v>
      </c>
      <c r="F25" s="1">
        <v>41.704907730500366</v>
      </c>
      <c r="G25" s="1">
        <f t="shared" si="1"/>
        <v>143.40981546100073</v>
      </c>
      <c r="H25" s="14">
        <f t="shared" si="2"/>
        <v>28.970663244212226</v>
      </c>
      <c r="I25" s="14" t="str">
        <f t="shared" si="3"/>
        <v>platleņķa</v>
      </c>
      <c r="L25" s="34">
        <v>13</v>
      </c>
      <c r="M25" s="63" t="s">
        <v>3888</v>
      </c>
      <c r="N25" s="63"/>
      <c r="O25" s="63"/>
      <c r="P25" s="63"/>
      <c r="Q25" s="63"/>
      <c r="R25" s="63"/>
      <c r="S25" s="1" t="s">
        <v>3885</v>
      </c>
    </row>
    <row r="26" spans="1:19" ht="15" customHeight="1" x14ac:dyDescent="0.2">
      <c r="A26" s="1">
        <v>103</v>
      </c>
      <c r="B26" s="14">
        <f t="shared" si="0"/>
        <v>38.5</v>
      </c>
      <c r="C26" s="14"/>
      <c r="D26" s="1">
        <v>61</v>
      </c>
      <c r="E26" s="1">
        <v>38.972249053304665</v>
      </c>
      <c r="F26" s="1">
        <v>38.972249053304665</v>
      </c>
      <c r="G26" s="1">
        <f t="shared" si="1"/>
        <v>138.94449810660933</v>
      </c>
      <c r="H26" s="14">
        <f t="shared" si="2"/>
        <v>24.260795458368762</v>
      </c>
      <c r="I26" s="14" t="str">
        <f t="shared" si="3"/>
        <v>platleņķa</v>
      </c>
      <c r="L26" s="34"/>
      <c r="M26" s="63"/>
      <c r="N26" s="63"/>
      <c r="O26" s="63"/>
      <c r="P26" s="63"/>
      <c r="Q26" s="63"/>
      <c r="R26" s="63"/>
    </row>
    <row r="27" spans="1:19" ht="15" customHeight="1" x14ac:dyDescent="0.2">
      <c r="A27" s="1">
        <v>62</v>
      </c>
      <c r="B27" s="14">
        <f t="shared" si="0"/>
        <v>59</v>
      </c>
      <c r="C27" s="14"/>
      <c r="D27" s="1">
        <v>62</v>
      </c>
      <c r="E27" s="1">
        <v>60.189724818721054</v>
      </c>
      <c r="F27" s="1">
        <v>60.189724818721054</v>
      </c>
      <c r="G27" s="1">
        <f t="shared" si="1"/>
        <v>182.37944963744212</v>
      </c>
      <c r="H27" s="14">
        <f t="shared" si="2"/>
        <v>51.592663952866062</v>
      </c>
      <c r="I27" s="14" t="str">
        <f t="shared" si="3"/>
        <v>cits</v>
      </c>
      <c r="L27" s="34"/>
      <c r="M27" s="63"/>
      <c r="N27" s="63"/>
      <c r="O27" s="63"/>
      <c r="P27" s="63"/>
      <c r="Q27" s="63"/>
      <c r="R27" s="63"/>
    </row>
    <row r="28" spans="1:19" ht="15" customHeight="1" x14ac:dyDescent="0.2">
      <c r="A28" s="1">
        <v>109</v>
      </c>
      <c r="B28" s="14">
        <f t="shared" si="0"/>
        <v>35.5</v>
      </c>
      <c r="C28" s="14"/>
      <c r="D28" s="1">
        <v>65</v>
      </c>
      <c r="E28" s="1">
        <v>39.920624613097615</v>
      </c>
      <c r="F28" s="1">
        <v>39.920624613097615</v>
      </c>
      <c r="G28" s="1">
        <f t="shared" si="1"/>
        <v>144.84124922619523</v>
      </c>
      <c r="H28" s="14">
        <f t="shared" si="2"/>
        <v>23.182024706652676</v>
      </c>
      <c r="I28" s="14" t="str">
        <f t="shared" si="3"/>
        <v>platleņķa</v>
      </c>
    </row>
    <row r="29" spans="1:19" ht="15" customHeight="1" x14ac:dyDescent="0.2">
      <c r="A29" s="1">
        <v>96</v>
      </c>
      <c r="B29" s="14">
        <f t="shared" si="0"/>
        <v>42</v>
      </c>
      <c r="C29" s="14"/>
      <c r="D29" s="1">
        <v>66</v>
      </c>
      <c r="E29" s="1">
        <v>44.405880077010409</v>
      </c>
      <c r="F29" s="1">
        <v>44.405880077010409</v>
      </c>
      <c r="G29" s="1">
        <f t="shared" si="1"/>
        <v>154.81176015402082</v>
      </c>
      <c r="H29" s="14">
        <f t="shared" si="2"/>
        <v>29.713333461828714</v>
      </c>
      <c r="I29" s="14" t="str">
        <f t="shared" si="3"/>
        <v>platleņķa</v>
      </c>
      <c r="L29" s="34">
        <v>14</v>
      </c>
      <c r="M29" s="64" t="s">
        <v>52</v>
      </c>
      <c r="N29" s="64"/>
      <c r="O29" s="64"/>
      <c r="P29" s="64"/>
      <c r="Q29" s="64"/>
      <c r="R29" s="64"/>
      <c r="S29" s="1" t="s">
        <v>3885</v>
      </c>
    </row>
    <row r="30" spans="1:19" ht="15" customHeight="1" x14ac:dyDescent="0.2">
      <c r="A30" s="1">
        <v>118</v>
      </c>
      <c r="B30" s="14">
        <f t="shared" si="0"/>
        <v>31</v>
      </c>
      <c r="C30" s="14"/>
      <c r="D30" s="1">
        <v>67</v>
      </c>
      <c r="E30" s="1">
        <v>39.08221880671357</v>
      </c>
      <c r="F30" s="1">
        <v>39.08221880671357</v>
      </c>
      <c r="G30" s="1">
        <f t="shared" si="1"/>
        <v>145.16443761342714</v>
      </c>
      <c r="H30" s="14">
        <f t="shared" si="2"/>
        <v>20.128830737423272</v>
      </c>
      <c r="I30" s="14" t="str">
        <f t="shared" si="3"/>
        <v>platleņķa</v>
      </c>
      <c r="L30" s="34"/>
      <c r="M30" s="64"/>
      <c r="N30" s="64"/>
      <c r="O30" s="64"/>
      <c r="P30" s="64"/>
      <c r="Q30" s="64"/>
      <c r="R30" s="64"/>
    </row>
    <row r="31" spans="1:19" ht="15" customHeight="1" x14ac:dyDescent="0.2">
      <c r="A31" s="1">
        <v>96</v>
      </c>
      <c r="B31" s="14">
        <f t="shared" si="0"/>
        <v>42</v>
      </c>
      <c r="C31" s="14"/>
      <c r="D31" s="1">
        <v>97</v>
      </c>
      <c r="E31" s="1">
        <v>65.263187385909234</v>
      </c>
      <c r="F31" s="1">
        <v>65.263187385909234</v>
      </c>
      <c r="G31" s="1">
        <f t="shared" si="1"/>
        <v>227.5263747718185</v>
      </c>
      <c r="H31" s="14">
        <f t="shared" si="2"/>
        <v>43.669596148445223</v>
      </c>
      <c r="I31" s="14" t="str">
        <f t="shared" si="3"/>
        <v>platleņķa</v>
      </c>
      <c r="L31" s="34"/>
      <c r="M31" s="64"/>
      <c r="N31" s="64"/>
      <c r="O31" s="64"/>
      <c r="P31" s="64"/>
      <c r="Q31" s="64"/>
      <c r="R31" s="64"/>
    </row>
    <row r="32" spans="1:19" ht="15" customHeight="1" x14ac:dyDescent="0.2">
      <c r="A32" s="1">
        <v>14</v>
      </c>
      <c r="B32" s="14">
        <f t="shared" si="0"/>
        <v>83</v>
      </c>
      <c r="C32" s="14"/>
      <c r="D32" s="1">
        <v>69</v>
      </c>
      <c r="E32" s="1">
        <v>283.0900621603152</v>
      </c>
      <c r="F32" s="1">
        <v>283.0900621603152</v>
      </c>
      <c r="G32" s="1">
        <f t="shared" si="1"/>
        <v>635.1801243206304</v>
      </c>
      <c r="H32" s="14">
        <f t="shared" si="2"/>
        <v>280.97995176512347</v>
      </c>
      <c r="I32" s="14" t="str">
        <f t="shared" si="3"/>
        <v>cits</v>
      </c>
      <c r="L32" s="34"/>
      <c r="M32" s="64"/>
      <c r="N32" s="64"/>
      <c r="O32" s="64"/>
      <c r="P32" s="64"/>
      <c r="Q32" s="64"/>
      <c r="R32" s="64"/>
    </row>
    <row r="33" spans="1:19" ht="15" customHeight="1" x14ac:dyDescent="0.2">
      <c r="A33" s="1">
        <v>102</v>
      </c>
      <c r="B33" s="14">
        <f t="shared" si="0"/>
        <v>39</v>
      </c>
      <c r="C33" s="14"/>
      <c r="D33" s="1">
        <v>71</v>
      </c>
      <c r="E33" s="1">
        <v>45.679964589207437</v>
      </c>
      <c r="F33" s="1">
        <v>45.679964589207437</v>
      </c>
      <c r="G33" s="1">
        <f t="shared" si="1"/>
        <v>162.35992917841486</v>
      </c>
      <c r="H33" s="14">
        <f t="shared" si="2"/>
        <v>28.747333178422746</v>
      </c>
      <c r="I33" s="14" t="str">
        <f t="shared" si="3"/>
        <v>platleņķa</v>
      </c>
    </row>
    <row r="34" spans="1:19" ht="15" customHeight="1" x14ac:dyDescent="0.2">
      <c r="A34" s="1">
        <v>102</v>
      </c>
      <c r="B34" s="14">
        <f t="shared" si="0"/>
        <v>39</v>
      </c>
      <c r="C34" s="14"/>
      <c r="D34" s="1">
        <v>71</v>
      </c>
      <c r="E34" s="1">
        <v>45.679964589207437</v>
      </c>
      <c r="F34" s="1">
        <v>45.679964589207437</v>
      </c>
      <c r="G34" s="1">
        <f t="shared" si="1"/>
        <v>162.35992917841486</v>
      </c>
      <c r="H34" s="14">
        <f t="shared" si="2"/>
        <v>28.747333178422746</v>
      </c>
      <c r="I34" s="14" t="str">
        <f t="shared" si="3"/>
        <v>platleņķa</v>
      </c>
      <c r="L34" s="34">
        <v>15</v>
      </c>
      <c r="M34" s="65" t="s">
        <v>53</v>
      </c>
      <c r="N34" s="65"/>
      <c r="O34" s="65"/>
      <c r="P34" s="65"/>
      <c r="Q34" s="65"/>
      <c r="R34" s="65"/>
      <c r="S34" s="1" t="s">
        <v>3885</v>
      </c>
    </row>
    <row r="35" spans="1:19" ht="15" customHeight="1" x14ac:dyDescent="0.2">
      <c r="A35" s="1">
        <v>62</v>
      </c>
      <c r="B35" s="14">
        <f t="shared" si="0"/>
        <v>59</v>
      </c>
      <c r="C35" s="14"/>
      <c r="D35" s="1">
        <v>74</v>
      </c>
      <c r="E35" s="1">
        <v>71.839348977183192</v>
      </c>
      <c r="F35" s="1">
        <v>71.839348977183192</v>
      </c>
      <c r="G35" s="1">
        <f t="shared" si="1"/>
        <v>217.67869795436638</v>
      </c>
      <c r="H35" s="14">
        <f t="shared" si="2"/>
        <v>61.578340846969169</v>
      </c>
      <c r="I35" s="14" t="str">
        <f t="shared" si="3"/>
        <v>cits</v>
      </c>
      <c r="M35" s="65"/>
      <c r="N35" s="65"/>
      <c r="O35" s="65"/>
      <c r="P35" s="65"/>
      <c r="Q35" s="65"/>
      <c r="R35" s="65"/>
    </row>
    <row r="36" spans="1:19" ht="15" customHeight="1" x14ac:dyDescent="0.2">
      <c r="A36" s="1">
        <v>50</v>
      </c>
      <c r="B36" s="14">
        <f t="shared" si="0"/>
        <v>65</v>
      </c>
      <c r="C36" s="14"/>
      <c r="D36" s="1">
        <v>74</v>
      </c>
      <c r="E36" s="1">
        <v>87.549458576642451</v>
      </c>
      <c r="F36" s="1">
        <v>87.549458576642451</v>
      </c>
      <c r="G36" s="1">
        <f t="shared" si="1"/>
        <v>249.0989171532849</v>
      </c>
      <c r="H36" s="14">
        <f t="shared" si="2"/>
        <v>79.346756058853671</v>
      </c>
      <c r="I36" s="14" t="str">
        <f t="shared" si="3"/>
        <v>cits</v>
      </c>
      <c r="M36" s="65"/>
      <c r="N36" s="65"/>
      <c r="O36" s="65"/>
      <c r="P36" s="65"/>
      <c r="Q36" s="65"/>
      <c r="R36" s="65"/>
    </row>
    <row r="37" spans="1:19" ht="15" customHeight="1" x14ac:dyDescent="0.2">
      <c r="A37" s="1">
        <v>128</v>
      </c>
      <c r="B37" s="14">
        <f t="shared" si="0"/>
        <v>26</v>
      </c>
      <c r="C37" s="14"/>
      <c r="D37" s="1">
        <v>77</v>
      </c>
      <c r="E37" s="1">
        <v>42.835174708294772</v>
      </c>
      <c r="F37" s="1">
        <v>42.835174708294772</v>
      </c>
      <c r="G37" s="1">
        <f t="shared" si="1"/>
        <v>162.67034941658954</v>
      </c>
      <c r="H37" s="14">
        <f t="shared" si="2"/>
        <v>18.777704659785662</v>
      </c>
      <c r="I37" s="14" t="str">
        <f t="shared" si="3"/>
        <v>platleņķa</v>
      </c>
      <c r="M37" s="65"/>
      <c r="N37" s="65"/>
      <c r="O37" s="65"/>
      <c r="P37" s="65"/>
      <c r="Q37" s="65"/>
      <c r="R37" s="65"/>
    </row>
    <row r="38" spans="1:19" ht="15" customHeight="1" x14ac:dyDescent="0.2">
      <c r="A38" s="1">
        <v>16</v>
      </c>
      <c r="B38" s="14">
        <f t="shared" si="0"/>
        <v>82</v>
      </c>
      <c r="C38" s="14"/>
      <c r="D38" s="1">
        <v>78</v>
      </c>
      <c r="E38" s="1">
        <v>280.22656483878109</v>
      </c>
      <c r="F38" s="1">
        <v>280.22656483878109</v>
      </c>
      <c r="G38" s="1">
        <f t="shared" si="1"/>
        <v>638.45312967756217</v>
      </c>
      <c r="H38" s="14">
        <f t="shared" si="2"/>
        <v>277.49941917298418</v>
      </c>
      <c r="I38" s="14" t="str">
        <f t="shared" si="3"/>
        <v>cits</v>
      </c>
    </row>
    <row r="39" spans="1:19" ht="15" customHeight="1" x14ac:dyDescent="0.2">
      <c r="A39" s="1">
        <v>11</v>
      </c>
      <c r="B39" s="14">
        <f t="shared" si="0"/>
        <v>84.5</v>
      </c>
      <c r="C39" s="14"/>
      <c r="D39" s="1">
        <v>78</v>
      </c>
      <c r="E39" s="1">
        <v>406.90379046031052</v>
      </c>
      <c r="F39" s="1">
        <v>406.90379046031052</v>
      </c>
      <c r="G39" s="1">
        <f t="shared" si="1"/>
        <v>891.80758092062104</v>
      </c>
      <c r="H39" s="14">
        <f t="shared" si="2"/>
        <v>405.03048612538822</v>
      </c>
      <c r="I39" s="14" t="str">
        <f t="shared" si="3"/>
        <v>cits</v>
      </c>
      <c r="M39" s="47"/>
      <c r="N39" s="47"/>
      <c r="O39" s="47"/>
      <c r="P39" s="47"/>
      <c r="Q39" s="47"/>
      <c r="R39" s="47"/>
    </row>
    <row r="40" spans="1:19" ht="15" customHeight="1" x14ac:dyDescent="0.2">
      <c r="A40" s="1">
        <v>60</v>
      </c>
      <c r="B40" s="14">
        <f t="shared" si="0"/>
        <v>60</v>
      </c>
      <c r="C40" s="14"/>
      <c r="D40" s="1">
        <v>82</v>
      </c>
      <c r="E40" s="1">
        <v>82.000000000000014</v>
      </c>
      <c r="F40" s="1">
        <v>82.000000000000014</v>
      </c>
      <c r="G40" s="1">
        <f t="shared" si="1"/>
        <v>246</v>
      </c>
      <c r="H40" s="14">
        <f t="shared" si="2"/>
        <v>71.014083110323995</v>
      </c>
      <c r="I40" s="14" t="str">
        <f t="shared" si="3"/>
        <v>cits</v>
      </c>
      <c r="M40" s="47"/>
      <c r="N40" s="47"/>
      <c r="O40" s="47"/>
      <c r="P40" s="47"/>
      <c r="Q40" s="47"/>
      <c r="R40" s="47"/>
    </row>
    <row r="41" spans="1:19" ht="15" customHeight="1" x14ac:dyDescent="0.2">
      <c r="A41" s="1">
        <v>29</v>
      </c>
      <c r="B41" s="14">
        <f t="shared" si="0"/>
        <v>75.5</v>
      </c>
      <c r="C41" s="14"/>
      <c r="D41" s="1">
        <v>86</v>
      </c>
      <c r="E41" s="1">
        <v>171.73895400469075</v>
      </c>
      <c r="F41" s="1">
        <v>171.73895400469075</v>
      </c>
      <c r="G41" s="1">
        <f t="shared" si="1"/>
        <v>429.47790800938151</v>
      </c>
      <c r="H41" s="14">
        <f t="shared" si="2"/>
        <v>166.26866308064572</v>
      </c>
      <c r="I41" s="14" t="str">
        <f t="shared" si="3"/>
        <v>cits</v>
      </c>
    </row>
    <row r="42" spans="1:19" ht="15" customHeight="1" x14ac:dyDescent="0.2">
      <c r="A42" s="1">
        <v>25</v>
      </c>
      <c r="B42" s="14">
        <f t="shared" si="0"/>
        <v>77.5</v>
      </c>
      <c r="C42" s="14"/>
      <c r="D42" s="1">
        <v>88</v>
      </c>
      <c r="E42" s="1">
        <v>203.28995787519315</v>
      </c>
      <c r="F42" s="1">
        <v>203.28995787519315</v>
      </c>
      <c r="G42" s="1">
        <f t="shared" si="1"/>
        <v>494.57991575038636</v>
      </c>
      <c r="H42" s="14">
        <f t="shared" si="2"/>
        <v>198.47117416113053</v>
      </c>
      <c r="I42" s="14" t="str">
        <f t="shared" si="3"/>
        <v>cits</v>
      </c>
    </row>
    <row r="43" spans="1:19" ht="15" customHeight="1" x14ac:dyDescent="0.2">
      <c r="A43" s="1">
        <v>88</v>
      </c>
      <c r="B43" s="14">
        <f t="shared" si="0"/>
        <v>46</v>
      </c>
      <c r="C43" s="14"/>
      <c r="D43" s="1">
        <v>91</v>
      </c>
      <c r="E43" s="1">
        <v>65.499822552970556</v>
      </c>
      <c r="F43" s="1">
        <v>65.499822552970556</v>
      </c>
      <c r="G43" s="1">
        <f t="shared" si="1"/>
        <v>221.99964510594111</v>
      </c>
      <c r="H43" s="14">
        <f t="shared" si="2"/>
        <v>47.116629277470921</v>
      </c>
      <c r="I43" s="14" t="str">
        <f t="shared" si="3"/>
        <v>cits</v>
      </c>
    </row>
    <row r="44" spans="1:19" ht="15" customHeight="1" x14ac:dyDescent="0.2">
      <c r="A44" s="1">
        <v>28</v>
      </c>
      <c r="B44" s="14">
        <f t="shared" si="0"/>
        <v>76</v>
      </c>
      <c r="C44" s="14"/>
      <c r="D44" s="1">
        <v>91</v>
      </c>
      <c r="E44" s="1">
        <v>188.0772299969631</v>
      </c>
      <c r="F44" s="1">
        <v>188.0772299969631</v>
      </c>
      <c r="G44" s="1">
        <f t="shared" si="1"/>
        <v>467.15445999392614</v>
      </c>
      <c r="H44" s="14">
        <f t="shared" si="2"/>
        <v>182.49053247588094</v>
      </c>
      <c r="I44" s="14" t="str">
        <f t="shared" si="3"/>
        <v>cits</v>
      </c>
    </row>
    <row r="45" spans="1:19" ht="15" customHeight="1" x14ac:dyDescent="0.2">
      <c r="A45" s="1">
        <v>91</v>
      </c>
      <c r="B45" s="14">
        <f t="shared" si="0"/>
        <v>44.5</v>
      </c>
      <c r="C45" s="14"/>
      <c r="D45" s="1">
        <v>93</v>
      </c>
      <c r="E45" s="1">
        <v>65.194491016644577</v>
      </c>
      <c r="F45" s="1">
        <v>65.194491016644577</v>
      </c>
      <c r="G45" s="1">
        <f t="shared" si="1"/>
        <v>223.38898203328915</v>
      </c>
      <c r="H45" s="14">
        <f t="shared" si="2"/>
        <v>45.695422734879592</v>
      </c>
      <c r="I45" s="14" t="str">
        <f t="shared" si="3"/>
        <v>platleņķa</v>
      </c>
    </row>
    <row r="46" spans="1:19" ht="15" customHeight="1" x14ac:dyDescent="0.2">
      <c r="A46" s="1">
        <v>15</v>
      </c>
      <c r="B46" s="14">
        <f t="shared" si="0"/>
        <v>82.5</v>
      </c>
      <c r="C46" s="14"/>
      <c r="D46" s="1">
        <v>113</v>
      </c>
      <c r="E46" s="1">
        <v>432.86331301803204</v>
      </c>
      <c r="F46" s="1">
        <v>432.86331301803204</v>
      </c>
      <c r="G46" s="1">
        <f t="shared" si="1"/>
        <v>978.72662603606409</v>
      </c>
      <c r="H46" s="14">
        <f t="shared" si="2"/>
        <v>429.16010736897107</v>
      </c>
      <c r="I46" s="14" t="str">
        <f t="shared" si="3"/>
        <v>cits</v>
      </c>
    </row>
    <row r="47" spans="1:19" ht="15" customHeight="1" x14ac:dyDescent="0.2">
      <c r="A47" s="1">
        <v>127</v>
      </c>
      <c r="B47" s="14">
        <f t="shared" si="0"/>
        <v>26.5</v>
      </c>
      <c r="C47" s="14"/>
      <c r="D47" s="1">
        <v>103</v>
      </c>
      <c r="E47" s="1">
        <v>57.546119815770254</v>
      </c>
      <c r="F47" s="1">
        <v>57.546119815770254</v>
      </c>
      <c r="G47" s="1">
        <f t="shared" si="1"/>
        <v>218.09223963154051</v>
      </c>
      <c r="H47" s="14">
        <f t="shared" si="2"/>
        <v>25.676952814751708</v>
      </c>
      <c r="I47" s="14" t="str">
        <f t="shared" si="3"/>
        <v>platleņķa</v>
      </c>
    </row>
    <row r="48" spans="1:19" ht="15" customHeight="1" x14ac:dyDescent="0.2">
      <c r="A48" s="1">
        <v>12</v>
      </c>
      <c r="B48" s="14">
        <f t="shared" si="0"/>
        <v>84</v>
      </c>
      <c r="C48" s="14"/>
      <c r="D48" s="1">
        <v>106</v>
      </c>
      <c r="E48" s="1">
        <v>507.03892837579821</v>
      </c>
      <c r="F48" s="1">
        <v>507.03892837579821</v>
      </c>
      <c r="G48" s="1">
        <f t="shared" si="1"/>
        <v>1120.0778567515963</v>
      </c>
      <c r="H48" s="14">
        <f t="shared" si="2"/>
        <v>504.26131607379705</v>
      </c>
      <c r="I48" s="14" t="str">
        <f t="shared" si="3"/>
        <v>cits</v>
      </c>
    </row>
    <row r="49" spans="1:9" ht="15" customHeight="1" x14ac:dyDescent="0.2">
      <c r="A49" s="1">
        <v>38</v>
      </c>
      <c r="B49" s="14">
        <f t="shared" si="0"/>
        <v>71</v>
      </c>
      <c r="C49" s="14"/>
      <c r="D49" s="1">
        <v>108</v>
      </c>
      <c r="E49" s="1">
        <v>165.86388828489106</v>
      </c>
      <c r="F49" s="1">
        <v>165.86388828489106</v>
      </c>
      <c r="G49" s="1">
        <f t="shared" si="1"/>
        <v>439.72777656978212</v>
      </c>
      <c r="H49" s="14">
        <f t="shared" si="2"/>
        <v>156.82738739449439</v>
      </c>
      <c r="I49" s="14" t="str">
        <f t="shared" si="3"/>
        <v>cits</v>
      </c>
    </row>
    <row r="50" spans="1:9" ht="15" customHeight="1" x14ac:dyDescent="0.2">
      <c r="A50" s="1">
        <v>105</v>
      </c>
      <c r="B50" s="14">
        <f t="shared" si="0"/>
        <v>37.5</v>
      </c>
      <c r="C50" s="14"/>
      <c r="D50" s="1">
        <v>113</v>
      </c>
      <c r="E50" s="1">
        <v>71.216691391579943</v>
      </c>
      <c r="F50" s="1">
        <v>71.216691391579943</v>
      </c>
      <c r="G50" s="1">
        <f t="shared" si="1"/>
        <v>255.43338278315991</v>
      </c>
      <c r="H50" s="14">
        <f t="shared" si="2"/>
        <v>43.353974820811253</v>
      </c>
      <c r="I50" s="14" t="str">
        <f t="shared" si="3"/>
        <v>platleņķa</v>
      </c>
    </row>
    <row r="51" spans="1:9" ht="15" customHeight="1" x14ac:dyDescent="0.2">
      <c r="A51" s="1">
        <v>70</v>
      </c>
      <c r="B51" s="14">
        <f t="shared" si="0"/>
        <v>55</v>
      </c>
      <c r="C51" s="14"/>
      <c r="D51" s="1">
        <v>117</v>
      </c>
      <c r="E51" s="1">
        <v>101.99163754383424</v>
      </c>
      <c r="F51" s="1">
        <v>101.99163754383424</v>
      </c>
      <c r="G51" s="1">
        <f t="shared" si="1"/>
        <v>320.98327508766852</v>
      </c>
      <c r="H51" s="14">
        <f t="shared" si="2"/>
        <v>83.546658394413711</v>
      </c>
      <c r="I51" s="14" t="str">
        <f t="shared" si="3"/>
        <v>cits</v>
      </c>
    </row>
    <row r="52" spans="1:9" ht="15" customHeight="1" x14ac:dyDescent="0.2">
      <c r="A52" s="1">
        <v>49</v>
      </c>
      <c r="B52" s="14">
        <f t="shared" si="0"/>
        <v>65.5</v>
      </c>
      <c r="C52" s="14"/>
      <c r="D52" s="1">
        <v>120</v>
      </c>
      <c r="E52" s="1">
        <v>144.68526088267404</v>
      </c>
      <c r="F52" s="1">
        <v>144.68526088267404</v>
      </c>
      <c r="G52" s="1">
        <f t="shared" si="1"/>
        <v>409.37052176534803</v>
      </c>
      <c r="H52" s="14">
        <f t="shared" si="2"/>
        <v>131.65798386990227</v>
      </c>
      <c r="I52" s="14" t="str">
        <f t="shared" si="3"/>
        <v>cits</v>
      </c>
    </row>
    <row r="53" spans="1:9" ht="15" customHeight="1" x14ac:dyDescent="0.2">
      <c r="A53" s="1">
        <v>46</v>
      </c>
      <c r="B53" s="14">
        <f t="shared" si="0"/>
        <v>67</v>
      </c>
      <c r="C53" s="14"/>
      <c r="D53" s="1">
        <v>124</v>
      </c>
      <c r="E53" s="1">
        <v>158.67688924534204</v>
      </c>
      <c r="F53" s="1">
        <v>158.67688924534204</v>
      </c>
      <c r="G53" s="1">
        <f t="shared" si="1"/>
        <v>441.35377849068414</v>
      </c>
      <c r="H53" s="14">
        <f t="shared" si="2"/>
        <v>146.06284668107267</v>
      </c>
      <c r="I53" s="14" t="str">
        <f t="shared" si="3"/>
        <v>cits</v>
      </c>
    </row>
    <row r="54" spans="1:9" ht="15" customHeight="1" x14ac:dyDescent="0.2">
      <c r="A54" s="1">
        <v>14</v>
      </c>
      <c r="B54" s="14">
        <f t="shared" si="0"/>
        <v>83</v>
      </c>
      <c r="C54" s="14"/>
      <c r="D54" s="1">
        <v>126</v>
      </c>
      <c r="E54" s="1">
        <v>516.94707003188</v>
      </c>
      <c r="F54" s="1">
        <v>516.94707003188</v>
      </c>
      <c r="G54" s="1">
        <f t="shared" si="1"/>
        <v>1159.89414006376</v>
      </c>
      <c r="H54" s="14">
        <f t="shared" si="2"/>
        <v>513.09382496239948</v>
      </c>
      <c r="I54" s="14" t="str">
        <f t="shared" si="3"/>
        <v>cits</v>
      </c>
    </row>
    <row r="55" spans="1:9" ht="15" customHeight="1" x14ac:dyDescent="0.2">
      <c r="A55" s="1">
        <v>33</v>
      </c>
      <c r="B55" s="14">
        <f t="shared" si="0"/>
        <v>73.5</v>
      </c>
      <c r="C55" s="14"/>
      <c r="D55" s="1">
        <v>133</v>
      </c>
      <c r="E55" s="1">
        <v>234.14227871851159</v>
      </c>
      <c r="F55" s="1">
        <v>234.14227871851159</v>
      </c>
      <c r="G55" s="1">
        <f t="shared" si="1"/>
        <v>601.28455743702318</v>
      </c>
      <c r="H55" s="14">
        <f t="shared" si="2"/>
        <v>224.50023760231784</v>
      </c>
      <c r="I55" s="14" t="str">
        <f t="shared" si="3"/>
        <v>cits</v>
      </c>
    </row>
    <row r="56" spans="1:9" ht="15" customHeight="1" x14ac:dyDescent="0.2">
      <c r="A56" s="1">
        <v>90</v>
      </c>
      <c r="B56" s="14">
        <f t="shared" si="0"/>
        <v>45</v>
      </c>
      <c r="C56" s="14"/>
      <c r="D56" s="1">
        <v>135</v>
      </c>
      <c r="E56" s="1">
        <v>95.459415460183919</v>
      </c>
      <c r="F56" s="1">
        <v>95.459415460183919</v>
      </c>
      <c r="G56" s="1">
        <f t="shared" si="1"/>
        <v>325.91883092036784</v>
      </c>
      <c r="H56" s="14">
        <f t="shared" si="2"/>
        <v>67.5</v>
      </c>
      <c r="I56" s="14" t="str">
        <f t="shared" si="3"/>
        <v>cits</v>
      </c>
    </row>
    <row r="57" spans="1:9" ht="15" customHeight="1" x14ac:dyDescent="0.2">
      <c r="A57" s="1">
        <v>58</v>
      </c>
      <c r="B57" s="14">
        <f t="shared" si="0"/>
        <v>61</v>
      </c>
      <c r="C57" s="14"/>
      <c r="D57" s="1">
        <v>137</v>
      </c>
      <c r="E57" s="1">
        <v>141.29257576447102</v>
      </c>
      <c r="F57" s="1">
        <v>141.29257576447102</v>
      </c>
      <c r="G57" s="1">
        <f t="shared" si="1"/>
        <v>419.58515152894211</v>
      </c>
      <c r="H57" s="14">
        <f t="shared" si="2"/>
        <v>123.57727123609253</v>
      </c>
      <c r="I57" s="14" t="str">
        <f t="shared" si="3"/>
        <v>cits</v>
      </c>
    </row>
    <row r="58" spans="1:9" ht="15" customHeight="1" x14ac:dyDescent="0.2">
      <c r="A58" s="1">
        <v>119</v>
      </c>
      <c r="B58" s="14">
        <f t="shared" si="0"/>
        <v>30.5</v>
      </c>
      <c r="C58" s="14"/>
      <c r="D58" s="1">
        <v>137</v>
      </c>
      <c r="E58" s="1">
        <v>79.500559109325479</v>
      </c>
      <c r="F58" s="1">
        <v>79.500559109325479</v>
      </c>
      <c r="G58" s="1">
        <f t="shared" si="1"/>
        <v>296.00111821865096</v>
      </c>
      <c r="H58" s="14">
        <f t="shared" si="2"/>
        <v>40.349583624807757</v>
      </c>
      <c r="I58" s="14" t="str">
        <f t="shared" si="3"/>
        <v>platleņķa</v>
      </c>
    </row>
    <row r="59" spans="1:9" ht="15" customHeight="1" x14ac:dyDescent="0.2">
      <c r="A59" s="1">
        <v>38</v>
      </c>
      <c r="B59" s="14">
        <f t="shared" si="0"/>
        <v>71</v>
      </c>
      <c r="C59" s="14"/>
      <c r="D59" s="1">
        <v>142</v>
      </c>
      <c r="E59" s="1">
        <v>218.08029755976418</v>
      </c>
      <c r="F59" s="1">
        <v>218.08029755976418</v>
      </c>
      <c r="G59" s="1">
        <f t="shared" si="1"/>
        <v>578.16059511952835</v>
      </c>
      <c r="H59" s="14">
        <f t="shared" si="2"/>
        <v>206.19897231498339</v>
      </c>
      <c r="I59" s="14" t="str">
        <f t="shared" si="3"/>
        <v>cits</v>
      </c>
    </row>
    <row r="60" spans="1:9" ht="15" customHeight="1" x14ac:dyDescent="0.2">
      <c r="A60" s="1">
        <v>33</v>
      </c>
      <c r="B60" s="14">
        <f t="shared" si="0"/>
        <v>73.5</v>
      </c>
      <c r="C60" s="14"/>
      <c r="D60" s="1">
        <v>156</v>
      </c>
      <c r="E60" s="1">
        <v>274.63304872246471</v>
      </c>
      <c r="F60" s="1">
        <v>274.63304872246471</v>
      </c>
      <c r="G60" s="1">
        <f t="shared" si="1"/>
        <v>705.26609744492941</v>
      </c>
      <c r="H60" s="14">
        <f t="shared" si="2"/>
        <v>263.32358696211713</v>
      </c>
      <c r="I60" s="14" t="str">
        <f t="shared" si="3"/>
        <v>cits</v>
      </c>
    </row>
    <row r="61" spans="1:9" ht="15" customHeight="1" x14ac:dyDescent="0.2">
      <c r="A61" s="1">
        <v>126</v>
      </c>
      <c r="B61" s="14">
        <f t="shared" si="0"/>
        <v>27</v>
      </c>
      <c r="C61" s="14"/>
      <c r="D61" s="1">
        <v>158</v>
      </c>
      <c r="E61" s="1">
        <v>88.663772773114516</v>
      </c>
      <c r="F61" s="1">
        <v>88.663772773114516</v>
      </c>
      <c r="G61" s="1">
        <f t="shared" si="1"/>
        <v>335.32754554622903</v>
      </c>
      <c r="H61" s="14">
        <f t="shared" si="2"/>
        <v>40.252510510059906</v>
      </c>
      <c r="I61" s="14" t="str">
        <f t="shared" si="3"/>
        <v>platleņķa</v>
      </c>
    </row>
    <row r="62" spans="1:9" ht="15" customHeight="1" x14ac:dyDescent="0.2">
      <c r="A62" s="1">
        <v>118</v>
      </c>
      <c r="B62" s="14">
        <f t="shared" si="0"/>
        <v>31</v>
      </c>
      <c r="C62" s="14"/>
      <c r="D62" s="1">
        <v>159</v>
      </c>
      <c r="E62" s="1">
        <v>92.747355078618767</v>
      </c>
      <c r="F62" s="1">
        <v>92.747355078618767</v>
      </c>
      <c r="G62" s="1">
        <f t="shared" si="1"/>
        <v>344.49471015723753</v>
      </c>
      <c r="H62" s="14">
        <f t="shared" si="2"/>
        <v>47.768419212691043</v>
      </c>
      <c r="I62" s="14" t="str">
        <f t="shared" si="3"/>
        <v>platleņķa</v>
      </c>
    </row>
    <row r="63" spans="1:9" ht="15" customHeight="1" x14ac:dyDescent="0.2">
      <c r="A63" s="1">
        <v>38</v>
      </c>
      <c r="B63" s="14">
        <f t="shared" si="0"/>
        <v>71</v>
      </c>
      <c r="C63" s="14"/>
      <c r="D63" s="1">
        <v>167</v>
      </c>
      <c r="E63" s="1">
        <v>256.47471614422972</v>
      </c>
      <c r="F63" s="1">
        <v>256.47471614422972</v>
      </c>
      <c r="G63" s="1">
        <f t="shared" si="1"/>
        <v>679.94943228845943</v>
      </c>
      <c r="H63" s="14">
        <f t="shared" si="2"/>
        <v>242.50160828593118</v>
      </c>
      <c r="I63" s="14" t="str">
        <f t="shared" si="3"/>
        <v>cits</v>
      </c>
    </row>
    <row r="64" spans="1:9" ht="15" customHeight="1" x14ac:dyDescent="0.2">
      <c r="A64" s="1">
        <v>127</v>
      </c>
      <c r="B64" s="14">
        <f t="shared" si="0"/>
        <v>26.5</v>
      </c>
      <c r="C64" s="14"/>
      <c r="D64" s="1">
        <v>178</v>
      </c>
      <c r="E64" s="1">
        <v>99.448634244729178</v>
      </c>
      <c r="F64" s="1">
        <v>99.448634244729178</v>
      </c>
      <c r="G64" s="1">
        <f t="shared" si="1"/>
        <v>376.89726848945838</v>
      </c>
      <c r="H64" s="14">
        <f t="shared" si="2"/>
        <v>44.373763116755391</v>
      </c>
      <c r="I64" s="14" t="str">
        <f t="shared" si="3"/>
        <v>platleņķa</v>
      </c>
    </row>
    <row r="65" spans="1:9" ht="15" customHeight="1" x14ac:dyDescent="0.2">
      <c r="A65" s="1">
        <v>130</v>
      </c>
      <c r="B65" s="14">
        <f t="shared" si="0"/>
        <v>25</v>
      </c>
      <c r="C65" s="14"/>
      <c r="D65" s="1">
        <v>183</v>
      </c>
      <c r="E65" s="1">
        <v>100.959079585068</v>
      </c>
      <c r="F65" s="1">
        <v>100.959079585068</v>
      </c>
      <c r="G65" s="1">
        <f t="shared" si="1"/>
        <v>384.91815917013605</v>
      </c>
      <c r="H65" s="14">
        <f t="shared" si="2"/>
        <v>42.667150721182367</v>
      </c>
      <c r="I65" s="14" t="str">
        <f t="shared" si="3"/>
        <v>platleņķa</v>
      </c>
    </row>
    <row r="66" spans="1:9" ht="15" customHeight="1" x14ac:dyDescent="0.2">
      <c r="A66" s="1">
        <v>50</v>
      </c>
      <c r="B66" s="14">
        <f t="shared" si="0"/>
        <v>65</v>
      </c>
      <c r="C66" s="14"/>
      <c r="D66" s="1">
        <v>187</v>
      </c>
      <c r="E66" s="1">
        <v>221.2398480247586</v>
      </c>
      <c r="F66" s="1">
        <v>221.2398480247586</v>
      </c>
      <c r="G66" s="1">
        <f t="shared" si="1"/>
        <v>629.4796960495172</v>
      </c>
      <c r="H66" s="14">
        <f t="shared" si="2"/>
        <v>200.51139706764371</v>
      </c>
      <c r="I66" s="14" t="str">
        <f t="shared" si="3"/>
        <v>cits</v>
      </c>
    </row>
    <row r="67" spans="1:9" ht="15" customHeight="1" x14ac:dyDescent="0.2">
      <c r="A67" s="1">
        <v>12</v>
      </c>
      <c r="B67" s="14">
        <f t="shared" si="0"/>
        <v>84</v>
      </c>
      <c r="C67" s="14"/>
      <c r="D67" s="1">
        <v>188</v>
      </c>
      <c r="E67" s="1">
        <v>899.2765899495289</v>
      </c>
      <c r="F67" s="1">
        <v>899.2765899495289</v>
      </c>
      <c r="G67" s="1">
        <f t="shared" si="1"/>
        <v>1986.5531798990578</v>
      </c>
      <c r="H67" s="14">
        <f t="shared" si="2"/>
        <v>894.35025869692299</v>
      </c>
      <c r="I67" s="14" t="str">
        <f t="shared" si="3"/>
        <v>cits</v>
      </c>
    </row>
    <row r="68" spans="1:9" ht="15" customHeight="1" x14ac:dyDescent="0.2">
      <c r="A68" s="1">
        <v>29</v>
      </c>
      <c r="B68" s="14">
        <f t="shared" ref="B68:B70" si="4">(180-A68)/2</f>
        <v>75.5</v>
      </c>
      <c r="C68" s="14"/>
      <c r="D68" s="1">
        <v>191</v>
      </c>
      <c r="E68" s="1">
        <v>381.42023505692941</v>
      </c>
      <c r="F68" s="1">
        <v>381.42023505692941</v>
      </c>
      <c r="G68" s="1">
        <f t="shared" ref="G68:G70" si="5">SUM(D68:F68)</f>
        <v>953.84047011385883</v>
      </c>
      <c r="H68" s="14">
        <f t="shared" ref="H68:H70" si="6">SQRT(E68*E68-(D68/2)*(D68/2))</f>
        <v>369.27110056282942</v>
      </c>
      <c r="I68" s="14" t="str">
        <f t="shared" ref="I68:I70" si="7">IF(A68&gt;90,"platleņķa","cits")</f>
        <v>cits</v>
      </c>
    </row>
    <row r="69" spans="1:9" ht="15" customHeight="1" x14ac:dyDescent="0.2">
      <c r="A69" s="1">
        <v>125</v>
      </c>
      <c r="B69" s="14">
        <f t="shared" si="4"/>
        <v>27.5</v>
      </c>
      <c r="C69" s="14"/>
      <c r="D69" s="1">
        <v>213</v>
      </c>
      <c r="E69" s="1">
        <v>120.06617734126546</v>
      </c>
      <c r="F69" s="1">
        <v>120.06617734126546</v>
      </c>
      <c r="G69" s="1">
        <f t="shared" si="5"/>
        <v>453.13235468253094</v>
      </c>
      <c r="H69" s="14">
        <f t="shared" si="6"/>
        <v>55.440390883760969</v>
      </c>
      <c r="I69" s="14" t="str">
        <f t="shared" si="7"/>
        <v>platleņķa</v>
      </c>
    </row>
    <row r="70" spans="1:9" ht="15" customHeight="1" x14ac:dyDescent="0.2">
      <c r="A70" s="1">
        <v>42</v>
      </c>
      <c r="B70" s="14">
        <f t="shared" si="4"/>
        <v>69</v>
      </c>
      <c r="C70" s="14"/>
      <c r="D70" s="1">
        <v>216</v>
      </c>
      <c r="E70" s="1">
        <v>301.36623583953627</v>
      </c>
      <c r="F70" s="1">
        <v>301.36623583953627</v>
      </c>
      <c r="G70" s="1">
        <f t="shared" si="5"/>
        <v>818.73247167907266</v>
      </c>
      <c r="H70" s="14">
        <f t="shared" si="6"/>
        <v>281.34961898693058</v>
      </c>
      <c r="I70" s="14" t="str">
        <f t="shared" si="7"/>
        <v>cits</v>
      </c>
    </row>
  </sheetData>
  <mergeCells count="9">
    <mergeCell ref="A1:K1"/>
    <mergeCell ref="M25:R27"/>
    <mergeCell ref="M29:R32"/>
    <mergeCell ref="M34:R37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J11" sqref="J11"/>
    </sheetView>
  </sheetViews>
  <sheetFormatPr defaultColWidth="8.85546875" defaultRowHeight="12.75" x14ac:dyDescent="0.2"/>
  <cols>
    <col min="1" max="1" width="11.140625" style="16" customWidth="1"/>
    <col min="2" max="16384" width="8.85546875" style="16"/>
  </cols>
  <sheetData>
    <row r="1" spans="1:16" ht="18" x14ac:dyDescent="0.25">
      <c r="A1" s="15" t="s">
        <v>57</v>
      </c>
      <c r="B1" s="15"/>
      <c r="C1" s="15"/>
      <c r="D1" s="15"/>
      <c r="E1" s="15"/>
      <c r="F1" s="15"/>
      <c r="G1" s="15"/>
    </row>
    <row r="2" spans="1:16" x14ac:dyDescent="0.2">
      <c r="B2" s="66" t="s">
        <v>14</v>
      </c>
      <c r="C2" s="66"/>
      <c r="D2" s="66"/>
      <c r="E2" s="66"/>
      <c r="F2" s="66"/>
      <c r="G2" s="66"/>
    </row>
    <row r="3" spans="1:16" ht="13.9" customHeight="1" x14ac:dyDescent="0.2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2">
        <v>16</v>
      </c>
      <c r="K3" s="63" t="s">
        <v>59</v>
      </c>
      <c r="L3" s="63"/>
      <c r="M3" s="63"/>
      <c r="N3" s="63"/>
      <c r="O3" s="63"/>
      <c r="P3" s="16" t="s">
        <v>3890</v>
      </c>
    </row>
    <row r="4" spans="1:16" x14ac:dyDescent="0.2">
      <c r="A4" s="17">
        <v>20</v>
      </c>
      <c r="B4" s="18">
        <f>(SIN(RADIANS($A4))*B$3)*(COS(RADIANS($A4))*B$3)/2</f>
        <v>16.069690242163485</v>
      </c>
      <c r="C4" s="18">
        <f t="shared" ref="C4:G9" si="0">(SIN(RADIANS($A4))*C$3)*(COS(RADIANS($A4))*C$3)/2</f>
        <v>23.140353948715418</v>
      </c>
      <c r="D4" s="18">
        <f t="shared" si="0"/>
        <v>31.496592874640424</v>
      </c>
      <c r="E4" s="18">
        <f t="shared" si="0"/>
        <v>41.138407019938519</v>
      </c>
      <c r="F4" s="18">
        <f t="shared" si="0"/>
        <v>52.065796384609691</v>
      </c>
      <c r="G4" s="18">
        <f t="shared" si="0"/>
        <v>64.278760968653941</v>
      </c>
      <c r="K4" s="63"/>
      <c r="L4" s="63"/>
      <c r="M4" s="63"/>
      <c r="N4" s="63"/>
      <c r="O4" s="63"/>
    </row>
    <row r="5" spans="1:16" x14ac:dyDescent="0.2">
      <c r="A5" s="17">
        <v>30</v>
      </c>
      <c r="B5" s="18">
        <f t="shared" ref="B5:B9" si="1">(SIN(RADIANS($A5))*B$3)*(COS(RADIANS($A5))*B$3)/2</f>
        <v>21.650635094610966</v>
      </c>
      <c r="C5" s="18">
        <f t="shared" si="0"/>
        <v>31.176914536239789</v>
      </c>
      <c r="D5" s="18">
        <f t="shared" si="0"/>
        <v>42.43524478543749</v>
      </c>
      <c r="E5" s="18">
        <f t="shared" si="0"/>
        <v>55.42562584220407</v>
      </c>
      <c r="F5" s="18">
        <f t="shared" si="0"/>
        <v>70.148057706539518</v>
      </c>
      <c r="G5" s="18">
        <f t="shared" si="0"/>
        <v>86.602540378443862</v>
      </c>
      <c r="K5" s="63"/>
      <c r="L5" s="63"/>
      <c r="M5" s="63"/>
      <c r="N5" s="63"/>
      <c r="O5" s="63"/>
    </row>
    <row r="6" spans="1:16" x14ac:dyDescent="0.2">
      <c r="A6" s="17">
        <v>40</v>
      </c>
      <c r="B6" s="18">
        <f t="shared" si="1"/>
        <v>24.620193825305197</v>
      </c>
      <c r="C6" s="18">
        <f t="shared" si="0"/>
        <v>35.453079108439489</v>
      </c>
      <c r="D6" s="18">
        <f t="shared" si="0"/>
        <v>48.255579897598182</v>
      </c>
      <c r="E6" s="18">
        <f t="shared" si="0"/>
        <v>63.027696192781306</v>
      </c>
      <c r="F6" s="18">
        <f t="shared" si="0"/>
        <v>79.769427993988842</v>
      </c>
      <c r="G6" s="18">
        <f t="shared" si="0"/>
        <v>98.480775301220788</v>
      </c>
      <c r="K6" s="63"/>
      <c r="L6" s="63"/>
      <c r="M6" s="63"/>
      <c r="N6" s="63"/>
      <c r="O6" s="63"/>
    </row>
    <row r="7" spans="1:16" x14ac:dyDescent="0.2">
      <c r="A7" s="17">
        <v>50</v>
      </c>
      <c r="B7" s="18">
        <f t="shared" si="1"/>
        <v>24.620193825305201</v>
      </c>
      <c r="C7" s="18">
        <f t="shared" si="0"/>
        <v>35.453079108439496</v>
      </c>
      <c r="D7" s="18">
        <f t="shared" si="0"/>
        <v>48.255579897598196</v>
      </c>
      <c r="E7" s="18">
        <f t="shared" si="0"/>
        <v>63.02769619278132</v>
      </c>
      <c r="F7" s="18">
        <f t="shared" si="0"/>
        <v>79.769427993988856</v>
      </c>
      <c r="G7" s="18">
        <f t="shared" si="0"/>
        <v>98.480775301220802</v>
      </c>
      <c r="K7" s="63"/>
      <c r="L7" s="63"/>
      <c r="M7" s="63"/>
      <c r="N7" s="63"/>
      <c r="O7" s="63"/>
    </row>
    <row r="8" spans="1:16" x14ac:dyDescent="0.2">
      <c r="A8" s="17">
        <v>60</v>
      </c>
      <c r="B8" s="18">
        <f t="shared" si="1"/>
        <v>21.650635094610969</v>
      </c>
      <c r="C8" s="18">
        <f t="shared" si="0"/>
        <v>31.176914536239803</v>
      </c>
      <c r="D8" s="18">
        <f t="shared" si="0"/>
        <v>42.435244785437504</v>
      </c>
      <c r="E8" s="18">
        <f t="shared" si="0"/>
        <v>55.425625842204084</v>
      </c>
      <c r="F8" s="18">
        <f t="shared" si="0"/>
        <v>70.148057706539532</v>
      </c>
      <c r="G8" s="18">
        <f t="shared" si="0"/>
        <v>86.602540378443877</v>
      </c>
    </row>
    <row r="9" spans="1:16" x14ac:dyDescent="0.2">
      <c r="A9" s="17">
        <v>70</v>
      </c>
      <c r="B9" s="18">
        <f t="shared" si="1"/>
        <v>16.069690242163489</v>
      </c>
      <c r="C9" s="18">
        <f t="shared" si="0"/>
        <v>23.140353948715418</v>
      </c>
      <c r="D9" s="18">
        <f t="shared" si="0"/>
        <v>31.496592874640434</v>
      </c>
      <c r="E9" s="18">
        <f t="shared" si="0"/>
        <v>41.138407019938526</v>
      </c>
      <c r="F9" s="18">
        <f t="shared" si="0"/>
        <v>52.065796384609698</v>
      </c>
      <c r="G9" s="18">
        <f t="shared" si="0"/>
        <v>64.278760968653955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topLeftCell="A29" zoomScaleNormal="100" workbookViewId="0">
      <selection activeCell="P57" sqref="P57"/>
    </sheetView>
  </sheetViews>
  <sheetFormatPr defaultColWidth="9.140625" defaultRowHeight="12.75" x14ac:dyDescent="0.2"/>
  <cols>
    <col min="1" max="6" width="9.140625" style="1"/>
    <col min="7" max="14" width="15.5703125" style="1" customWidth="1"/>
    <col min="15" max="15" width="12.28515625" style="34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67" t="s">
        <v>25</v>
      </c>
      <c r="B2" s="67"/>
      <c r="C2" s="67"/>
      <c r="D2" s="67"/>
      <c r="E2" s="67"/>
      <c r="F2" s="67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34"/>
    </row>
    <row r="4" spans="1:20" ht="13.9" customHeight="1" x14ac:dyDescent="0.2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179.20427644725643</v>
      </c>
      <c r="H4" s="14">
        <v>0.66491149802808469</v>
      </c>
      <c r="I4" s="14">
        <v>0.13081205468418922</v>
      </c>
      <c r="J4" s="14">
        <v>11.999999999883267</v>
      </c>
      <c r="K4" s="14">
        <v>79.309520235593411</v>
      </c>
      <c r="L4" s="14">
        <v>13.038404810405298</v>
      </c>
      <c r="M4" s="14">
        <v>66.272166103123567</v>
      </c>
      <c r="N4" s="1" t="str">
        <f>IF(AND(G4&lt;90,H4&lt;90,I4&lt;90),"ir šaurleņķa","nav šaurleņķa")</f>
        <v>nav šaurleņķa</v>
      </c>
      <c r="O4" s="34">
        <v>20</v>
      </c>
      <c r="P4" s="65" t="s">
        <v>56</v>
      </c>
      <c r="Q4" s="65"/>
      <c r="R4" s="65"/>
      <c r="S4" s="65"/>
      <c r="T4" s="1" t="s">
        <v>3885</v>
      </c>
    </row>
    <row r="5" spans="1:20" x14ac:dyDescent="0.2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0.65661637307442111</v>
      </c>
      <c r="H5" s="14">
        <v>46.888188006741323</v>
      </c>
      <c r="I5" s="14">
        <v>132.45519562018762</v>
      </c>
      <c r="J5" s="14">
        <v>47.000000000000306</v>
      </c>
      <c r="K5" s="14">
        <v>1</v>
      </c>
      <c r="L5" s="14">
        <v>64.381674411279491</v>
      </c>
      <c r="M5" s="14">
        <v>63.702433234531945</v>
      </c>
      <c r="N5" s="1" t="str">
        <f t="shared" ref="N5:N68" si="0">IF(AND(G5&lt;90,H5&lt;90,I5&lt;90),"ir šaurleņķa","nav šaurleņķa")</f>
        <v>nav šaurleņķa</v>
      </c>
      <c r="P5" s="65"/>
      <c r="Q5" s="65"/>
      <c r="R5" s="65"/>
      <c r="S5" s="65"/>
    </row>
    <row r="6" spans="1:20" x14ac:dyDescent="0.2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0.41410787087149947</v>
      </c>
      <c r="H6" s="14">
        <v>179.37413466848358</v>
      </c>
      <c r="I6" s="14">
        <v>0.2117574606434372</v>
      </c>
      <c r="J6" s="14">
        <v>70.000000000091646</v>
      </c>
      <c r="K6" s="14">
        <v>111.94641575325224</v>
      </c>
      <c r="L6" s="14">
        <v>57.245087125446844</v>
      </c>
      <c r="M6" s="14">
        <v>169.18924315688631</v>
      </c>
      <c r="N6" s="1" t="str">
        <f t="shared" si="0"/>
        <v>nav šaurleņķa</v>
      </c>
      <c r="P6" s="65"/>
      <c r="Q6" s="65"/>
      <c r="R6" s="65"/>
      <c r="S6" s="65"/>
    </row>
    <row r="7" spans="1:20" x14ac:dyDescent="0.2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3.3687462777377619</v>
      </c>
      <c r="H7" s="14">
        <v>11.557175956567132</v>
      </c>
      <c r="I7" s="14">
        <v>165.07407776569448</v>
      </c>
      <c r="J7" s="14">
        <v>172.99999999999821</v>
      </c>
      <c r="K7" s="14">
        <v>14.035668847618199</v>
      </c>
      <c r="L7" s="14">
        <v>61.522353661088097</v>
      </c>
      <c r="M7" s="14">
        <v>47.853944456021594</v>
      </c>
      <c r="N7" s="1" t="str">
        <f t="shared" si="0"/>
        <v>nav šaurleņķa</v>
      </c>
    </row>
    <row r="8" spans="1:20" ht="13.9" customHeight="1" x14ac:dyDescent="0.2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2.2848485994953678</v>
      </c>
      <c r="H8" s="14">
        <v>177.44583994938347</v>
      </c>
      <c r="I8" s="14">
        <v>0.26931145112848348</v>
      </c>
      <c r="J8" s="14">
        <v>205.99999999996186</v>
      </c>
      <c r="K8" s="14">
        <v>198.01010075246163</v>
      </c>
      <c r="L8" s="14">
        <v>23.345235059857504</v>
      </c>
      <c r="M8" s="14">
        <v>221.33458834985552</v>
      </c>
      <c r="N8" s="1" t="str">
        <f t="shared" si="0"/>
        <v>nav šaurleņķa</v>
      </c>
      <c r="O8" s="34">
        <v>21</v>
      </c>
      <c r="P8" s="68" t="s">
        <v>3889</v>
      </c>
      <c r="Q8" s="68"/>
      <c r="R8" s="68"/>
      <c r="S8" s="68"/>
      <c r="T8" s="1" t="s">
        <v>3884</v>
      </c>
    </row>
    <row r="9" spans="1:20" x14ac:dyDescent="0.2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86.009086901570186</v>
      </c>
      <c r="H9" s="14">
        <v>87.336999233932886</v>
      </c>
      <c r="I9" s="14">
        <v>6.6539138644968432</v>
      </c>
      <c r="J9" s="14">
        <v>215</v>
      </c>
      <c r="K9" s="14">
        <v>43.046486500061768</v>
      </c>
      <c r="L9" s="14">
        <v>5</v>
      </c>
      <c r="M9" s="14">
        <v>43.104524124504614</v>
      </c>
      <c r="N9" s="1" t="str">
        <f t="shared" si="0"/>
        <v>ir šaurleņķa</v>
      </c>
      <c r="P9" s="68"/>
      <c r="Q9" s="68"/>
      <c r="R9" s="68"/>
      <c r="S9" s="68"/>
    </row>
    <row r="10" spans="1:20" x14ac:dyDescent="0.2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5.6787319569256987</v>
      </c>
      <c r="H10" s="14">
        <v>125.78897345918337</v>
      </c>
      <c r="I10" s="14">
        <v>48.532294583890852</v>
      </c>
      <c r="J10" s="14">
        <v>300.99999999999989</v>
      </c>
      <c r="K10" s="14">
        <v>7</v>
      </c>
      <c r="L10" s="14">
        <v>53.009433122794285</v>
      </c>
      <c r="M10" s="14">
        <v>57.384666941614292</v>
      </c>
      <c r="N10" s="1" t="str">
        <f t="shared" si="0"/>
        <v>nav šaurleņķa</v>
      </c>
      <c r="P10" s="68"/>
      <c r="Q10" s="68"/>
      <c r="R10" s="68"/>
      <c r="S10" s="68"/>
    </row>
    <row r="11" spans="1:20" x14ac:dyDescent="0.2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168.1113419603721</v>
      </c>
      <c r="H11" s="14">
        <v>8.6641354331081768</v>
      </c>
      <c r="I11" s="14">
        <v>3.2245226065200945</v>
      </c>
      <c r="J11" s="14">
        <v>320.00000000000398</v>
      </c>
      <c r="K11" s="14">
        <v>88.204308284799779</v>
      </c>
      <c r="L11" s="14">
        <v>24.083189157584592</v>
      </c>
      <c r="M11" s="14">
        <v>64.498061986388393</v>
      </c>
      <c r="N11" s="1" t="str">
        <f t="shared" si="0"/>
        <v>nav šaurleņķa</v>
      </c>
      <c r="P11" s="68"/>
      <c r="Q11" s="68"/>
      <c r="R11" s="68"/>
      <c r="S11" s="68"/>
    </row>
    <row r="12" spans="1:20" x14ac:dyDescent="0.2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0.79905250921097049</v>
      </c>
      <c r="H12" s="14">
        <v>178.01136214352709</v>
      </c>
      <c r="I12" s="14">
        <v>1.1895853472655196</v>
      </c>
      <c r="J12" s="14">
        <v>329.99999999980787</v>
      </c>
      <c r="K12" s="14">
        <v>79.924964810752343</v>
      </c>
      <c r="L12" s="14">
        <v>118.98319209031165</v>
      </c>
      <c r="M12" s="14">
        <v>198.8793604173143</v>
      </c>
      <c r="N12" s="1" t="str">
        <f t="shared" si="0"/>
        <v>nav šaurleņķa</v>
      </c>
      <c r="P12" s="68"/>
      <c r="Q12" s="68"/>
      <c r="R12" s="68"/>
      <c r="S12" s="68"/>
    </row>
    <row r="13" spans="1:20" x14ac:dyDescent="0.2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3.3794198124666743</v>
      </c>
      <c r="H13" s="14">
        <v>174.53024780238238</v>
      </c>
      <c r="I13" s="14">
        <v>2.0903323851524873</v>
      </c>
      <c r="J13" s="14">
        <v>351.99999999998505</v>
      </c>
      <c r="K13" s="14">
        <v>77.252831663311866</v>
      </c>
      <c r="L13" s="14">
        <v>47.801673610868477</v>
      </c>
      <c r="M13" s="14">
        <v>124.91997438360288</v>
      </c>
      <c r="N13" s="1" t="str">
        <f t="shared" si="0"/>
        <v>nav šaurleņķa</v>
      </c>
      <c r="P13" s="68"/>
      <c r="Q13" s="68"/>
      <c r="R13" s="68"/>
      <c r="S13" s="68"/>
    </row>
    <row r="14" spans="1:20" x14ac:dyDescent="0.2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177.5845536065363</v>
      </c>
      <c r="H14" s="14">
        <v>1.2456585168084118</v>
      </c>
      <c r="I14" s="14">
        <v>1.169787876651148</v>
      </c>
      <c r="J14" s="14">
        <v>367.9999999996794</v>
      </c>
      <c r="K14" s="14">
        <v>186.93849255838134</v>
      </c>
      <c r="L14" s="14">
        <v>90.553851381374173</v>
      </c>
      <c r="M14" s="14">
        <v>96.426137535421375</v>
      </c>
      <c r="N14" s="1" t="str">
        <f t="shared" si="0"/>
        <v>nav šaurleņķa</v>
      </c>
      <c r="P14" s="68"/>
      <c r="Q14" s="68"/>
      <c r="R14" s="68"/>
      <c r="S14" s="68"/>
    </row>
    <row r="15" spans="1:20" x14ac:dyDescent="0.2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4.7681966266149702</v>
      </c>
      <c r="H15" s="14">
        <v>172.59547711055427</v>
      </c>
      <c r="I15" s="14">
        <v>2.6363262628297828</v>
      </c>
      <c r="J15" s="14">
        <v>521.0000000000224</v>
      </c>
      <c r="K15" s="14">
        <v>85.475142585432408</v>
      </c>
      <c r="L15" s="14">
        <v>47.296934361541872</v>
      </c>
      <c r="M15" s="14">
        <v>132.51792331605563</v>
      </c>
      <c r="N15" s="1" t="str">
        <f t="shared" si="0"/>
        <v>nav šaurleņķa</v>
      </c>
      <c r="P15" s="68"/>
      <c r="Q15" s="68"/>
      <c r="R15" s="68"/>
      <c r="S15" s="68"/>
    </row>
    <row r="16" spans="1:20" x14ac:dyDescent="0.2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5.8627885386323024</v>
      </c>
      <c r="H16" s="14">
        <v>164.1454535676215</v>
      </c>
      <c r="I16" s="14">
        <v>9.9917578937452198</v>
      </c>
      <c r="J16" s="14">
        <v>639.00000000000728</v>
      </c>
      <c r="K16" s="14">
        <v>37.107950630558946</v>
      </c>
      <c r="L16" s="14">
        <v>63.031738037277698</v>
      </c>
      <c r="M16" s="14">
        <v>99.247166206396045</v>
      </c>
      <c r="N16" s="1" t="str">
        <f t="shared" si="0"/>
        <v>nav šaurleņķa</v>
      </c>
    </row>
    <row r="17" spans="1:14" x14ac:dyDescent="0.2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131.22180229283833</v>
      </c>
      <c r="H17" s="14">
        <v>41.217354553403638</v>
      </c>
      <c r="I17" s="14">
        <v>7.5608431537578991</v>
      </c>
      <c r="J17" s="14">
        <v>677.99999999999932</v>
      </c>
      <c r="K17" s="14">
        <v>76.694197955256044</v>
      </c>
      <c r="L17" s="14">
        <v>13.416407864998739</v>
      </c>
      <c r="M17" s="14">
        <v>67.186308128963304</v>
      </c>
      <c r="N17" s="1" t="str">
        <f t="shared" si="0"/>
        <v>nav šaurleņķa</v>
      </c>
    </row>
    <row r="18" spans="1:14" x14ac:dyDescent="0.2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173.27441644635621</v>
      </c>
      <c r="H18" s="14">
        <v>5.3656932346629675</v>
      </c>
      <c r="I18" s="14">
        <v>1.3598903189777165</v>
      </c>
      <c r="J18" s="14">
        <v>945.99999999986926</v>
      </c>
      <c r="K18" s="14">
        <v>223.4323163734378</v>
      </c>
      <c r="L18" s="14">
        <v>45.276925690687087</v>
      </c>
      <c r="M18" s="14">
        <v>178.40403582878949</v>
      </c>
      <c r="N18" s="1" t="str">
        <f t="shared" si="0"/>
        <v>nav šaurleņķa</v>
      </c>
    </row>
    <row r="19" spans="1:14" x14ac:dyDescent="0.2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4.7296491920983499</v>
      </c>
      <c r="H19" s="14">
        <v>101.37952648050118</v>
      </c>
      <c r="I19" s="14">
        <v>73.890824327399969</v>
      </c>
      <c r="J19" s="14">
        <v>1108.0000000000002</v>
      </c>
      <c r="K19" s="14">
        <v>9.8488578017961039</v>
      </c>
      <c r="L19" s="14">
        <v>114.75626344561765</v>
      </c>
      <c r="M19" s="14">
        <v>117.09824934643558</v>
      </c>
      <c r="N19" s="1" t="str">
        <f t="shared" si="0"/>
        <v>nav šaurleņķa</v>
      </c>
    </row>
    <row r="20" spans="1:14" x14ac:dyDescent="0.2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11.719599094993958</v>
      </c>
      <c r="H20" s="14">
        <v>162.95005386218153</v>
      </c>
      <c r="I20" s="14">
        <v>5.3303470428238757</v>
      </c>
      <c r="J20" s="14">
        <v>1170.0000000000146</v>
      </c>
      <c r="K20" s="14">
        <v>93.407708461347028</v>
      </c>
      <c r="L20" s="14">
        <v>42.720018726587654</v>
      </c>
      <c r="M20" s="14">
        <v>134.83323032546539</v>
      </c>
      <c r="N20" s="1" t="str">
        <f t="shared" si="0"/>
        <v>nav šaurleņķa</v>
      </c>
    </row>
    <row r="21" spans="1:14" x14ac:dyDescent="0.2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4.652196222572746</v>
      </c>
      <c r="H21" s="14">
        <v>5.4479915531980865</v>
      </c>
      <c r="I21" s="14">
        <v>169.89981222423003</v>
      </c>
      <c r="J21" s="14">
        <v>1212.000000000083</v>
      </c>
      <c r="K21" s="14">
        <v>76.837490849194182</v>
      </c>
      <c r="L21" s="14">
        <v>166.13849644197458</v>
      </c>
      <c r="M21" s="14">
        <v>89.944427287075428</v>
      </c>
      <c r="N21" s="1" t="str">
        <f t="shared" si="0"/>
        <v>nav šaurleņķa</v>
      </c>
    </row>
    <row r="22" spans="1:14" x14ac:dyDescent="0.2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5.556762681973777</v>
      </c>
      <c r="H22" s="14">
        <v>16.200334532074212</v>
      </c>
      <c r="I22" s="14">
        <v>158.24290278595257</v>
      </c>
      <c r="J22" s="14">
        <v>1335.0000000000121</v>
      </c>
      <c r="K22" s="14">
        <v>35.355339059327378</v>
      </c>
      <c r="L22" s="14">
        <v>135.34031180694095</v>
      </c>
      <c r="M22" s="14">
        <v>101.86756107809786</v>
      </c>
      <c r="N22" s="1" t="str">
        <f t="shared" si="0"/>
        <v>nav šaurleņķa</v>
      </c>
    </row>
    <row r="23" spans="1:14" x14ac:dyDescent="0.2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60.364670729234277</v>
      </c>
      <c r="H23" s="14">
        <v>31.588725540151838</v>
      </c>
      <c r="I23" s="14">
        <v>88.046603730613882</v>
      </c>
      <c r="J23" s="14">
        <v>1466.0000000000005</v>
      </c>
      <c r="K23" s="14">
        <v>49.33558553417604</v>
      </c>
      <c r="L23" s="14">
        <v>56.727418414731339</v>
      </c>
      <c r="M23" s="14">
        <v>29.732137494637012</v>
      </c>
      <c r="N23" s="1" t="str">
        <f t="shared" si="0"/>
        <v>ir šaurleņķa</v>
      </c>
    </row>
    <row r="24" spans="1:14" x14ac:dyDescent="0.2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10.275463183178827</v>
      </c>
      <c r="H24" s="14">
        <v>23.019968636484098</v>
      </c>
      <c r="I24" s="14">
        <v>146.70456818033699</v>
      </c>
      <c r="J24" s="14">
        <v>1679.9999999999989</v>
      </c>
      <c r="K24" s="14">
        <v>37.363083384538811</v>
      </c>
      <c r="L24" s="14">
        <v>114.9826073804208</v>
      </c>
      <c r="M24" s="14">
        <v>81.908485518900903</v>
      </c>
      <c r="N24" s="1" t="str">
        <f t="shared" si="0"/>
        <v>nav šaurleņķa</v>
      </c>
    </row>
    <row r="25" spans="1:14" x14ac:dyDescent="0.2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45.261026802365443</v>
      </c>
      <c r="H25" s="14">
        <v>64.2197734259139</v>
      </c>
      <c r="I25" s="14">
        <v>70.519199771720579</v>
      </c>
      <c r="J25" s="14">
        <v>2205</v>
      </c>
      <c r="K25" s="14">
        <v>42.953463189829058</v>
      </c>
      <c r="L25" s="14">
        <v>57.008771254956898</v>
      </c>
      <c r="M25" s="14">
        <v>54.451813560247928</v>
      </c>
      <c r="N25" s="1" t="str">
        <f t="shared" si="0"/>
        <v>ir šaurleņķa</v>
      </c>
    </row>
    <row r="26" spans="1:14" x14ac:dyDescent="0.2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67.932100437589838</v>
      </c>
      <c r="H26" s="14">
        <v>102.20046872738082</v>
      </c>
      <c r="I26" s="14">
        <v>9.8674308350294542</v>
      </c>
      <c r="J26" s="14">
        <v>2331</v>
      </c>
      <c r="K26" s="14">
        <v>113.5649593844862</v>
      </c>
      <c r="L26" s="14">
        <v>21</v>
      </c>
      <c r="M26" s="14">
        <v>119.77478866606278</v>
      </c>
      <c r="N26" s="1" t="str">
        <f t="shared" si="0"/>
        <v>nav šaurleņķa</v>
      </c>
    </row>
    <row r="27" spans="1:14" x14ac:dyDescent="0.2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142.62285954847974</v>
      </c>
      <c r="H27" s="14">
        <v>27.63818955328054</v>
      </c>
      <c r="I27" s="14">
        <v>9.7389508982393789</v>
      </c>
      <c r="J27" s="14">
        <v>2591.9999999999886</v>
      </c>
      <c r="K27" s="14">
        <v>141.60508465447137</v>
      </c>
      <c r="L27" s="14">
        <v>39.45883931389772</v>
      </c>
      <c r="M27" s="14">
        <v>108.2081327812286</v>
      </c>
      <c r="N27" s="1" t="str">
        <f t="shared" si="0"/>
        <v>nav šaurleņķa</v>
      </c>
    </row>
    <row r="28" spans="1:14" x14ac:dyDescent="0.2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55.753487316916235</v>
      </c>
      <c r="H28" s="14">
        <v>50.961660262588815</v>
      </c>
      <c r="I28" s="14">
        <v>73.284852420494801</v>
      </c>
      <c r="J28" s="14">
        <v>2643.9999999999982</v>
      </c>
      <c r="K28" s="14">
        <v>54.203320931470607</v>
      </c>
      <c r="L28" s="14">
        <v>62.801273872430329</v>
      </c>
      <c r="M28" s="14">
        <v>50.931326312987373</v>
      </c>
      <c r="N28" s="1" t="str">
        <f t="shared" si="0"/>
        <v>ir šaurleņķa</v>
      </c>
    </row>
    <row r="29" spans="1:14" x14ac:dyDescent="0.2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109.2074293783196</v>
      </c>
      <c r="H29" s="14">
        <v>53.233711245766308</v>
      </c>
      <c r="I29" s="14">
        <v>17.558859375914103</v>
      </c>
      <c r="J29" s="14">
        <v>2657.9999999999991</v>
      </c>
      <c r="K29" s="14">
        <v>101.91172650877817</v>
      </c>
      <c r="L29" s="14">
        <v>32.557641192199412</v>
      </c>
      <c r="M29" s="14">
        <v>86.452298986203942</v>
      </c>
      <c r="N29" s="1" t="str">
        <f t="shared" si="0"/>
        <v>nav šaurleņķa</v>
      </c>
    </row>
    <row r="30" spans="1:14" x14ac:dyDescent="0.2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103.62699485989158</v>
      </c>
      <c r="H30" s="14">
        <v>19.536654938128425</v>
      </c>
      <c r="I30" s="14">
        <v>56.836350201980132</v>
      </c>
      <c r="J30" s="14">
        <v>2805.0000000000059</v>
      </c>
      <c r="K30" s="14">
        <v>98.681305220391167</v>
      </c>
      <c r="L30" s="14">
        <v>85</v>
      </c>
      <c r="M30" s="14">
        <v>33.955853692699293</v>
      </c>
      <c r="N30" s="1" t="str">
        <f t="shared" si="0"/>
        <v>nav šaurleņķa</v>
      </c>
    </row>
    <row r="31" spans="1:14" x14ac:dyDescent="0.2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155.76763442727699</v>
      </c>
      <c r="H31" s="14">
        <v>15.105800504816937</v>
      </c>
      <c r="I31" s="14">
        <v>9.1265650679062649</v>
      </c>
      <c r="J31" s="14">
        <v>3017.0000000000146</v>
      </c>
      <c r="K31" s="14">
        <v>173.08090593707902</v>
      </c>
      <c r="L31" s="14">
        <v>66.887966032762577</v>
      </c>
      <c r="M31" s="14">
        <v>109.89540481748998</v>
      </c>
      <c r="N31" s="1" t="str">
        <f t="shared" si="0"/>
        <v>nav šaurleņķa</v>
      </c>
    </row>
    <row r="32" spans="1:14" x14ac:dyDescent="0.2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18.568869372605946</v>
      </c>
      <c r="H32" s="14">
        <v>129.18968855571964</v>
      </c>
      <c r="I32" s="14">
        <v>32.241442071674491</v>
      </c>
      <c r="J32" s="14">
        <v>3101.9999999999982</v>
      </c>
      <c r="K32" s="14">
        <v>48.877397639399746</v>
      </c>
      <c r="L32" s="14">
        <v>81.884064383737083</v>
      </c>
      <c r="M32" s="14">
        <v>118.96217886370441</v>
      </c>
      <c r="N32" s="1" t="str">
        <f t="shared" si="0"/>
        <v>nav šaurleņķa</v>
      </c>
    </row>
    <row r="33" spans="1:14" x14ac:dyDescent="0.2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  <c r="N33" s="1" t="str">
        <f t="shared" si="0"/>
        <v>ir šaurleņķa</v>
      </c>
    </row>
    <row r="34" spans="1:14" x14ac:dyDescent="0.2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122.87738887583214</v>
      </c>
      <c r="H34" s="14">
        <v>31.780436843027086</v>
      </c>
      <c r="I34" s="14">
        <v>25.342174281140753</v>
      </c>
      <c r="J34" s="14">
        <v>3497.999999999995</v>
      </c>
      <c r="K34" s="14">
        <v>114.15778554264269</v>
      </c>
      <c r="L34" s="14">
        <v>58.180752831155424</v>
      </c>
      <c r="M34" s="14">
        <v>71.589105316381762</v>
      </c>
      <c r="N34" s="1" t="str">
        <f t="shared" si="0"/>
        <v>nav šaurleņķa</v>
      </c>
    </row>
    <row r="35" spans="1:14" x14ac:dyDescent="0.2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145.82192206326729</v>
      </c>
      <c r="H35" s="14">
        <v>25.49906452284139</v>
      </c>
      <c r="I35" s="14">
        <v>8.6790134138915196</v>
      </c>
      <c r="J35" s="14">
        <v>3622.0000000000009</v>
      </c>
      <c r="K35" s="14">
        <v>176.98022488402484</v>
      </c>
      <c r="L35" s="14">
        <v>47.539457296018853</v>
      </c>
      <c r="M35" s="14">
        <v>135.6244815658294</v>
      </c>
      <c r="N35" s="1" t="str">
        <f t="shared" si="0"/>
        <v>nav šaurleņķa</v>
      </c>
    </row>
    <row r="36" spans="1:14" x14ac:dyDescent="0.2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109.87776415206494</v>
      </c>
      <c r="H36" s="14">
        <v>17.924532218633171</v>
      </c>
      <c r="I36" s="14">
        <v>52.197703629301685</v>
      </c>
      <c r="J36" s="14">
        <v>3932.9999999999818</v>
      </c>
      <c r="K36" s="14">
        <v>123.3288287465668</v>
      </c>
      <c r="L36" s="14">
        <v>103.61949623502326</v>
      </c>
      <c r="M36" s="14">
        <v>40.36087214122113</v>
      </c>
      <c r="N36" s="1" t="str">
        <f t="shared" si="0"/>
        <v>nav šaurleņķa</v>
      </c>
    </row>
    <row r="37" spans="1:14" x14ac:dyDescent="0.2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14.992359306738443</v>
      </c>
      <c r="H37" s="14">
        <v>144.98888029947761</v>
      </c>
      <c r="I37" s="14">
        <v>20.018760393783925</v>
      </c>
      <c r="J37" s="14">
        <v>3948.0000000000041</v>
      </c>
      <c r="K37" s="14">
        <v>72.111025509279784</v>
      </c>
      <c r="L37" s="14">
        <v>95.425363504678359</v>
      </c>
      <c r="M37" s="14">
        <v>159.93123522314207</v>
      </c>
      <c r="N37" s="1" t="str">
        <f t="shared" si="0"/>
        <v>nav šaurleņķa</v>
      </c>
    </row>
    <row r="38" spans="1:14" x14ac:dyDescent="0.2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96.376857128818557</v>
      </c>
      <c r="H38" s="14">
        <v>39.037721594613792</v>
      </c>
      <c r="I38" s="14">
        <v>44.585421276567509</v>
      </c>
      <c r="J38" s="14">
        <v>4115.9999999999973</v>
      </c>
      <c r="K38" s="14">
        <v>96.187317251288391</v>
      </c>
      <c r="L38" s="14">
        <v>67.94115100585212</v>
      </c>
      <c r="M38" s="14">
        <v>60.959002616512684</v>
      </c>
      <c r="N38" s="1" t="str">
        <f t="shared" si="0"/>
        <v>nav šaurleņķa</v>
      </c>
    </row>
    <row r="39" spans="1:14" x14ac:dyDescent="0.2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26.131000544938516</v>
      </c>
      <c r="H39" s="14">
        <v>132.8281469833546</v>
      </c>
      <c r="I39" s="14">
        <v>21.040852471706689</v>
      </c>
      <c r="J39" s="14">
        <v>4420.0000000000018</v>
      </c>
      <c r="K39" s="14">
        <v>85.982556370463882</v>
      </c>
      <c r="L39" s="14">
        <v>70.092795635500224</v>
      </c>
      <c r="M39" s="14">
        <v>143.17821063276352</v>
      </c>
      <c r="N39" s="1" t="str">
        <f t="shared" si="0"/>
        <v>nav šaurleņķa</v>
      </c>
    </row>
    <row r="40" spans="1:14" x14ac:dyDescent="0.2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25.204887904027807</v>
      </c>
      <c r="H40" s="14">
        <v>128.55839990066497</v>
      </c>
      <c r="I40" s="14">
        <v>26.236712195307224</v>
      </c>
      <c r="J40" s="14">
        <v>4484.9999999999991</v>
      </c>
      <c r="K40" s="14">
        <v>74.330343736592525</v>
      </c>
      <c r="L40" s="14">
        <v>77.1621668954417</v>
      </c>
      <c r="M40" s="14">
        <v>136.48809471891678</v>
      </c>
      <c r="N40" s="1" t="str">
        <f t="shared" si="0"/>
        <v>nav šaurleņķa</v>
      </c>
    </row>
    <row r="41" spans="1:14" x14ac:dyDescent="0.2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126.95323838105162</v>
      </c>
      <c r="H41" s="14">
        <v>28.67230994112251</v>
      </c>
      <c r="I41" s="14">
        <v>24.374451677825999</v>
      </c>
      <c r="J41" s="14">
        <v>4505.0000000000073</v>
      </c>
      <c r="K41" s="14">
        <v>134.83693855913521</v>
      </c>
      <c r="L41" s="14">
        <v>69.634761434214738</v>
      </c>
      <c r="M41" s="14">
        <v>80.956778592036386</v>
      </c>
      <c r="N41" s="1" t="str">
        <f t="shared" si="0"/>
        <v>nav šaurleņķa</v>
      </c>
    </row>
    <row r="42" spans="1:14" x14ac:dyDescent="0.2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44.118962281486922</v>
      </c>
      <c r="H42" s="14">
        <v>78.941444861190973</v>
      </c>
      <c r="I42" s="14">
        <v>56.939592857322033</v>
      </c>
      <c r="J42" s="14">
        <v>4738</v>
      </c>
      <c r="K42" s="14">
        <v>63.324560795950255</v>
      </c>
      <c r="L42" s="14">
        <v>76.236474210183673</v>
      </c>
      <c r="M42" s="14">
        <v>89.274856482662571</v>
      </c>
      <c r="N42" s="1" t="str">
        <f t="shared" si="0"/>
        <v>ir šaurleņķa</v>
      </c>
    </row>
    <row r="43" spans="1:14" x14ac:dyDescent="0.2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85.601294645004486</v>
      </c>
      <c r="H43" s="14">
        <v>74.458404786665113</v>
      </c>
      <c r="I43" s="14">
        <v>19.940300568330361</v>
      </c>
      <c r="J43" s="14">
        <v>5069.9999999999991</v>
      </c>
      <c r="K43" s="14">
        <v>124.03628501370073</v>
      </c>
      <c r="L43" s="14">
        <v>42.426406871192853</v>
      </c>
      <c r="M43" s="14">
        <v>119.85407794480753</v>
      </c>
      <c r="N43" s="1" t="str">
        <f t="shared" si="0"/>
        <v>ir šaurleņķa</v>
      </c>
    </row>
    <row r="44" spans="1:14" x14ac:dyDescent="0.2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8.9678718998430966</v>
      </c>
      <c r="H44" s="14">
        <v>41.7071025236041</v>
      </c>
      <c r="I44" s="14">
        <v>129.32502557655272</v>
      </c>
      <c r="J44" s="14">
        <v>5077.9999999999973</v>
      </c>
      <c r="K44" s="14">
        <v>39.217343102255157</v>
      </c>
      <c r="L44" s="14">
        <v>194.61757371830529</v>
      </c>
      <c r="M44" s="14">
        <v>167.38578195294843</v>
      </c>
      <c r="N44" s="1" t="str">
        <f t="shared" si="0"/>
        <v>nav šaurleņķa</v>
      </c>
    </row>
    <row r="45" spans="1:14" x14ac:dyDescent="0.2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109.87217581924386</v>
      </c>
      <c r="H45" s="14">
        <v>41.443818905744848</v>
      </c>
      <c r="I45" s="14">
        <v>28.684005275011195</v>
      </c>
      <c r="J45" s="14">
        <v>5311.9999999999964</v>
      </c>
      <c r="K45" s="14">
        <v>125.39936203984452</v>
      </c>
      <c r="L45" s="14">
        <v>64</v>
      </c>
      <c r="M45" s="14">
        <v>88.255311454892052</v>
      </c>
      <c r="N45" s="1" t="str">
        <f t="shared" si="0"/>
        <v>nav šaurleņķa</v>
      </c>
    </row>
    <row r="46" spans="1:14" x14ac:dyDescent="0.2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68.886499921634737</v>
      </c>
      <c r="H46" s="14">
        <v>80.998244877438694</v>
      </c>
      <c r="I46" s="14">
        <v>30.11525520092658</v>
      </c>
      <c r="J46" s="14">
        <v>5555</v>
      </c>
      <c r="K46" s="14">
        <v>102.25947388873072</v>
      </c>
      <c r="L46" s="14">
        <v>55</v>
      </c>
      <c r="M46" s="14">
        <v>108.26818553942798</v>
      </c>
      <c r="N46" s="1" t="str">
        <f t="shared" si="0"/>
        <v>ir šaurleņķa</v>
      </c>
    </row>
    <row r="47" spans="1:14" x14ac:dyDescent="0.2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10.274029537728085</v>
      </c>
      <c r="H47" s="14">
        <v>75.093765841113125</v>
      </c>
      <c r="I47" s="14">
        <v>94.632204621159019</v>
      </c>
      <c r="J47" s="14">
        <v>5665.0000000000009</v>
      </c>
      <c r="K47" s="14">
        <v>32.388269481403292</v>
      </c>
      <c r="L47" s="14">
        <v>181</v>
      </c>
      <c r="M47" s="14">
        <v>175.48219282878819</v>
      </c>
      <c r="N47" s="1" t="str">
        <f t="shared" si="0"/>
        <v>nav šaurleņķa</v>
      </c>
    </row>
    <row r="48" spans="1:14" x14ac:dyDescent="0.2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143.26198590129874</v>
      </c>
      <c r="H48" s="14">
        <v>22.264696278267984</v>
      </c>
      <c r="I48" s="14">
        <v>14.473317820433268</v>
      </c>
      <c r="J48" s="14">
        <v>5768.9999999999936</v>
      </c>
      <c r="K48" s="14">
        <v>190.89525923919641</v>
      </c>
      <c r="L48" s="14">
        <v>79.762146410437069</v>
      </c>
      <c r="M48" s="14">
        <v>120.91732712891069</v>
      </c>
      <c r="N48" s="1" t="str">
        <f t="shared" si="0"/>
        <v>nav šaurleņķa</v>
      </c>
    </row>
    <row r="49" spans="1:14" x14ac:dyDescent="0.2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14.271492482209874</v>
      </c>
      <c r="H49" s="14">
        <v>120.50278663887401</v>
      </c>
      <c r="I49" s="14">
        <v>45.225720878915915</v>
      </c>
      <c r="J49" s="14">
        <v>6116.0000000000009</v>
      </c>
      <c r="K49" s="14">
        <v>49.648766349225639</v>
      </c>
      <c r="L49" s="14">
        <v>142.97202523570826</v>
      </c>
      <c r="M49" s="14">
        <v>173.5280957078709</v>
      </c>
      <c r="N49" s="1" t="str">
        <f t="shared" si="0"/>
        <v>nav šaurleņķa</v>
      </c>
    </row>
    <row r="50" spans="1:14" x14ac:dyDescent="0.2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110.9406051709728</v>
      </c>
      <c r="H50" s="14">
        <v>10.585732489636925</v>
      </c>
      <c r="I50" s="14">
        <v>58.473662339390401</v>
      </c>
      <c r="J50" s="14">
        <v>6938.0000000000236</v>
      </c>
      <c r="K50" s="14">
        <v>203.42074623793906</v>
      </c>
      <c r="L50" s="14">
        <v>185.65828826098769</v>
      </c>
      <c r="M50" s="14">
        <v>40.01249804748511</v>
      </c>
      <c r="N50" s="1" t="str">
        <f t="shared" si="0"/>
        <v>nav šaurleņķa</v>
      </c>
    </row>
    <row r="51" spans="1:14" x14ac:dyDescent="0.2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57.642152327889804</v>
      </c>
      <c r="H51" s="14">
        <v>60.871178611456962</v>
      </c>
      <c r="I51" s="14">
        <v>61.486669060653078</v>
      </c>
      <c r="J51" s="14">
        <v>7859.9999999999955</v>
      </c>
      <c r="K51" s="14">
        <v>93.005376188691372</v>
      </c>
      <c r="L51" s="14">
        <v>96.74709297958259</v>
      </c>
      <c r="M51" s="14">
        <v>96.176920308356728</v>
      </c>
      <c r="N51" s="1" t="str">
        <f t="shared" si="0"/>
        <v>ir šaurleņķa</v>
      </c>
    </row>
    <row r="52" spans="1:14" x14ac:dyDescent="0.2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48.734461013575959</v>
      </c>
      <c r="H52" s="14">
        <v>39.951036778220441</v>
      </c>
      <c r="I52" s="14">
        <v>91.314502208203692</v>
      </c>
      <c r="J52" s="14">
        <v>8193.0000000000109</v>
      </c>
      <c r="K52" s="14">
        <v>97.943861471763512</v>
      </c>
      <c r="L52" s="14">
        <v>130.26895255585654</v>
      </c>
      <c r="M52" s="14">
        <v>83.671978583035795</v>
      </c>
      <c r="N52" s="1" t="str">
        <f t="shared" si="0"/>
        <v>nav šaurleņķa</v>
      </c>
    </row>
    <row r="53" spans="1:14" x14ac:dyDescent="0.2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34.601108753559139</v>
      </c>
      <c r="H53" s="14">
        <v>111.68676412950171</v>
      </c>
      <c r="I53" s="14">
        <v>33.712127116939051</v>
      </c>
      <c r="J53" s="14">
        <v>8796.0000000000036</v>
      </c>
      <c r="K53" s="14">
        <v>98.412397592986224</v>
      </c>
      <c r="L53" s="14">
        <v>96.187317251288391</v>
      </c>
      <c r="M53" s="14">
        <v>161.0372627685903</v>
      </c>
      <c r="N53" s="1" t="str">
        <f t="shared" si="0"/>
        <v>nav šaurleņķa</v>
      </c>
    </row>
    <row r="54" spans="1:14" x14ac:dyDescent="0.2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63.148036828488372</v>
      </c>
      <c r="H54" s="14">
        <v>77.937693440224777</v>
      </c>
      <c r="I54" s="14">
        <v>38.914269731286851</v>
      </c>
      <c r="J54" s="14">
        <v>8924.0000000000018</v>
      </c>
      <c r="K54" s="14">
        <v>113.84638773364749</v>
      </c>
      <c r="L54" s="14">
        <v>80.156097709406993</v>
      </c>
      <c r="M54" s="14">
        <v>124.78781991845197</v>
      </c>
      <c r="N54" s="1" t="str">
        <f t="shared" si="0"/>
        <v>ir šaurleņķa</v>
      </c>
    </row>
    <row r="55" spans="1:14" x14ac:dyDescent="0.2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29.120593600122525</v>
      </c>
      <c r="H55" s="14">
        <v>62.856927867495344</v>
      </c>
      <c r="I55" s="14">
        <v>88.022478532382124</v>
      </c>
      <c r="J55" s="14">
        <v>9152</v>
      </c>
      <c r="K55" s="14">
        <v>70.767224051816527</v>
      </c>
      <c r="L55" s="14">
        <v>145.33065746772084</v>
      </c>
      <c r="M55" s="14">
        <v>129.40247292845683</v>
      </c>
      <c r="N55" s="1" t="str">
        <f t="shared" si="0"/>
        <v>ir šaurleņķa</v>
      </c>
    </row>
    <row r="56" spans="1:14" x14ac:dyDescent="0.2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107.23543951196018</v>
      </c>
      <c r="H56" s="14">
        <v>30.561138529760875</v>
      </c>
      <c r="I56" s="14">
        <v>42.20342195827908</v>
      </c>
      <c r="J56" s="14">
        <v>9580.0000000000146</v>
      </c>
      <c r="K56" s="14">
        <v>163.67040050051813</v>
      </c>
      <c r="L56" s="14">
        <v>115.11733144926528</v>
      </c>
      <c r="M56" s="14">
        <v>87.13208364316786</v>
      </c>
      <c r="N56" s="1" t="str">
        <f t="shared" si="0"/>
        <v>nav šaurleņķa</v>
      </c>
    </row>
    <row r="57" spans="1:14" x14ac:dyDescent="0.2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58.110214149352643</v>
      </c>
      <c r="H57" s="14">
        <v>95.282429721428329</v>
      </c>
      <c r="I57" s="14">
        <v>26.607356129218918</v>
      </c>
      <c r="J57" s="14">
        <v>10037</v>
      </c>
      <c r="K57" s="14">
        <v>138.23530663329106</v>
      </c>
      <c r="L57" s="14">
        <v>72.917761896536561</v>
      </c>
      <c r="M57" s="14">
        <v>162.11724152600181</v>
      </c>
      <c r="N57" s="1" t="str">
        <f t="shared" si="0"/>
        <v>nav šaurleņķa</v>
      </c>
    </row>
    <row r="58" spans="1:14" x14ac:dyDescent="0.2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23.000662879951154</v>
      </c>
      <c r="H58" s="14">
        <v>81.257131923579976</v>
      </c>
      <c r="I58" s="14">
        <v>75.742205196468774</v>
      </c>
      <c r="J58" s="14">
        <v>10455.999999999998</v>
      </c>
      <c r="K58" s="14">
        <v>65.30696746902278</v>
      </c>
      <c r="L58" s="14">
        <v>161.98765385053269</v>
      </c>
      <c r="M58" s="14">
        <v>165.19382555047267</v>
      </c>
      <c r="N58" s="1" t="str">
        <f t="shared" si="0"/>
        <v>ir šaurleņķa</v>
      </c>
    </row>
    <row r="59" spans="1:14" x14ac:dyDescent="0.2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57.072497645531726</v>
      </c>
      <c r="H59" s="14">
        <v>91.530029565838305</v>
      </c>
      <c r="I59" s="14">
        <v>31.397472788629969</v>
      </c>
      <c r="J59" s="14">
        <v>10670</v>
      </c>
      <c r="K59" s="14">
        <v>131.13733259449805</v>
      </c>
      <c r="L59" s="14">
        <v>81.394102980498531</v>
      </c>
      <c r="M59" s="14">
        <v>156.17938404283711</v>
      </c>
      <c r="N59" s="1" t="str">
        <f t="shared" si="0"/>
        <v>nav šaurleņķa</v>
      </c>
    </row>
    <row r="60" spans="1:14" x14ac:dyDescent="0.2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29.047339989784838</v>
      </c>
      <c r="H60" s="14">
        <v>43.519168324336846</v>
      </c>
      <c r="I60" s="14">
        <v>107.43349168587828</v>
      </c>
      <c r="J60" s="14">
        <v>11530.999999999993</v>
      </c>
      <c r="K60" s="14">
        <v>92.314679222754165</v>
      </c>
      <c r="L60" s="14">
        <v>181.39735389470266</v>
      </c>
      <c r="M60" s="14">
        <v>130.92364186807515</v>
      </c>
      <c r="N60" s="1" t="str">
        <f t="shared" si="0"/>
        <v>nav šaurleņķa</v>
      </c>
    </row>
    <row r="61" spans="1:14" x14ac:dyDescent="0.2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24.299688539796339</v>
      </c>
      <c r="H61" s="14">
        <v>119.910736055154</v>
      </c>
      <c r="I61" s="14">
        <v>35.789575405049703</v>
      </c>
      <c r="J61" s="14">
        <v>11551</v>
      </c>
      <c r="K61" s="14">
        <v>96.834911060009759</v>
      </c>
      <c r="L61" s="14">
        <v>137.61540611428649</v>
      </c>
      <c r="M61" s="14">
        <v>203.97303743387261</v>
      </c>
      <c r="N61" s="1" t="str">
        <f t="shared" si="0"/>
        <v>nav šaurleņķa</v>
      </c>
    </row>
    <row r="62" spans="1:14" x14ac:dyDescent="0.2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27.041350629939124</v>
      </c>
      <c r="H62" s="14">
        <v>39.989109867270514</v>
      </c>
      <c r="I62" s="14">
        <v>112.96953950279031</v>
      </c>
      <c r="J62" s="14">
        <v>12277.999999999998</v>
      </c>
      <c r="K62" s="14">
        <v>97.128780492704635</v>
      </c>
      <c r="L62" s="14">
        <v>196.70282153543198</v>
      </c>
      <c r="M62" s="14">
        <v>137.2953021774598</v>
      </c>
      <c r="N62" s="1" t="str">
        <f t="shared" si="0"/>
        <v>nav šaurleņķa</v>
      </c>
    </row>
    <row r="63" spans="1:14" x14ac:dyDescent="0.2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73.519850961263813</v>
      </c>
      <c r="H63" s="14">
        <v>26.158063534809635</v>
      </c>
      <c r="I63" s="14">
        <v>80.322085503926417</v>
      </c>
      <c r="J63" s="14">
        <v>12489.999999999964</v>
      </c>
      <c r="K63" s="14">
        <v>166.01204775557707</v>
      </c>
      <c r="L63" s="14">
        <v>170.66048165876012</v>
      </c>
      <c r="M63" s="14">
        <v>76.321687612368734</v>
      </c>
      <c r="N63" s="1" t="str">
        <f t="shared" si="0"/>
        <v>ir šaurleņķa</v>
      </c>
    </row>
    <row r="64" spans="1:14" x14ac:dyDescent="0.2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42.101208984461692</v>
      </c>
      <c r="H64" s="14">
        <v>37.700529881119472</v>
      </c>
      <c r="I64" s="14">
        <v>100.19826113441894</v>
      </c>
      <c r="J64" s="14">
        <v>12824.000000000007</v>
      </c>
      <c r="K64" s="14">
        <v>119.5198728245642</v>
      </c>
      <c r="L64" s="14">
        <v>175.45369759569047</v>
      </c>
      <c r="M64" s="14">
        <v>109.01834707974616</v>
      </c>
      <c r="N64" s="1" t="str">
        <f t="shared" si="0"/>
        <v>nav šaurleņķa</v>
      </c>
    </row>
    <row r="65" spans="1:14" x14ac:dyDescent="0.2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63.568505176627966</v>
      </c>
      <c r="H65" s="14">
        <v>71.062282842747095</v>
      </c>
      <c r="I65" s="14">
        <v>45.369211980625018</v>
      </c>
      <c r="J65" s="14">
        <v>12885.000000000002</v>
      </c>
      <c r="K65" s="14">
        <v>130.92364186807515</v>
      </c>
      <c r="L65" s="14">
        <v>104.04806581575652</v>
      </c>
      <c r="M65" s="14">
        <v>138.2931668593933</v>
      </c>
      <c r="N65" s="1" t="str">
        <f t="shared" si="0"/>
        <v>ir šaurleņķa</v>
      </c>
    </row>
    <row r="66" spans="1:14" x14ac:dyDescent="0.2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81.832417933725054</v>
      </c>
      <c r="H66" s="14">
        <v>42.366542061848456</v>
      </c>
      <c r="I66" s="14">
        <v>55.801040004426476</v>
      </c>
      <c r="J66" s="14">
        <v>13481.999999999998</v>
      </c>
      <c r="K66" s="14">
        <v>154.73848907107759</v>
      </c>
      <c r="L66" s="14">
        <v>129.29423807734048</v>
      </c>
      <c r="M66" s="14">
        <v>105.34229919647663</v>
      </c>
      <c r="N66" s="1" t="str">
        <f t="shared" si="0"/>
        <v>ir šaurleņķa</v>
      </c>
    </row>
    <row r="67" spans="1:14" x14ac:dyDescent="0.2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25.982402317891548</v>
      </c>
      <c r="H67" s="14">
        <v>109.61613773624865</v>
      </c>
      <c r="I67" s="14">
        <v>44.40145994585982</v>
      </c>
      <c r="J67" s="14">
        <v>14161</v>
      </c>
      <c r="K67" s="14">
        <v>97.020616365801345</v>
      </c>
      <c r="L67" s="14">
        <v>154.95160534825058</v>
      </c>
      <c r="M67" s="14">
        <v>208.60728654579637</v>
      </c>
      <c r="N67" s="1" t="str">
        <f t="shared" si="0"/>
        <v>nav šaurleņķa</v>
      </c>
    </row>
    <row r="68" spans="1:14" x14ac:dyDescent="0.2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52.747073229326141</v>
      </c>
      <c r="H68" s="14">
        <v>82.978438778826785</v>
      </c>
      <c r="I68" s="14">
        <v>44.274487991846996</v>
      </c>
      <c r="J68" s="14">
        <v>14930.999999999998</v>
      </c>
      <c r="K68" s="14">
        <v>130.96946208945045</v>
      </c>
      <c r="L68" s="14">
        <v>114.86513831445988</v>
      </c>
      <c r="M68" s="14">
        <v>163.30646037435261</v>
      </c>
      <c r="N68" s="1" t="str">
        <f t="shared" si="0"/>
        <v>ir šaurleņķa</v>
      </c>
    </row>
    <row r="69" spans="1:14" x14ac:dyDescent="0.2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53.641121464474445</v>
      </c>
      <c r="H69" s="14">
        <v>40.828936007450302</v>
      </c>
      <c r="I69" s="14">
        <v>85.529942528075324</v>
      </c>
      <c r="J69" s="14">
        <v>15350.000000000015</v>
      </c>
      <c r="K69" s="14">
        <v>137.71347065556077</v>
      </c>
      <c r="L69" s="14">
        <v>170.48460341039598</v>
      </c>
      <c r="M69" s="14">
        <v>111.80339887498948</v>
      </c>
      <c r="N69" s="1" t="str">
        <f t="shared" ref="N69:N71" si="1">IF(AND(G69&lt;90,H69&lt;90,I69&lt;90),"ir šaurleņķa","nav šaurleņķa")</f>
        <v>ir šaurleņķa</v>
      </c>
    </row>
    <row r="70" spans="1:14" x14ac:dyDescent="0.2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41.499352366121457</v>
      </c>
      <c r="H70" s="14">
        <v>76.611859898944061</v>
      </c>
      <c r="I70" s="14">
        <v>61.888787734934468</v>
      </c>
      <c r="J70" s="14">
        <v>18961</v>
      </c>
      <c r="K70" s="14">
        <v>121.00413216084813</v>
      </c>
      <c r="L70" s="14">
        <v>161.07451691686057</v>
      </c>
      <c r="M70" s="14">
        <v>177.65415840897168</v>
      </c>
      <c r="N70" s="1" t="str">
        <f t="shared" si="1"/>
        <v>ir šaurleņķa</v>
      </c>
    </row>
    <row r="71" spans="1:14" x14ac:dyDescent="0.2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49.4879972923734</v>
      </c>
      <c r="H71" s="14">
        <v>76.471286468166937</v>
      </c>
      <c r="I71" s="14">
        <v>54.04071623945979</v>
      </c>
      <c r="J71" s="14">
        <v>21483</v>
      </c>
      <c r="K71" s="14">
        <v>144.06248644251562</v>
      </c>
      <c r="L71" s="14">
        <v>153.37861650177967</v>
      </c>
      <c r="M71" s="14">
        <v>184.23083346714796</v>
      </c>
      <c r="N71" s="1" t="str">
        <f t="shared" si="1"/>
        <v>ir šaurleņķa</v>
      </c>
    </row>
  </sheetData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4" activePane="bottomLeft" state="frozen"/>
      <selection pane="bottomLeft" activeCell="N3" sqref="N3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67" t="s">
        <v>25</v>
      </c>
      <c r="B2" s="67"/>
      <c r="C2" s="67"/>
      <c r="D2" s="67"/>
      <c r="E2" s="67"/>
      <c r="F2" s="67"/>
      <c r="G2" s="2"/>
      <c r="H2" s="2"/>
      <c r="I2" s="2"/>
      <c r="J2" s="2"/>
      <c r="N2" s="79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79">
        <v>75.63225833085292</v>
      </c>
      <c r="H4" s="79">
        <v>52.216172453709319</v>
      </c>
      <c r="I4" s="79">
        <v>52.151569215437704</v>
      </c>
      <c r="J4" s="79">
        <v>14943.999999999995</v>
      </c>
      <c r="K4" s="79">
        <v>152.30561381643159</v>
      </c>
      <c r="L4" s="79">
        <v>124.1491039033307</v>
      </c>
      <c r="M4" s="79">
        <v>124.25779653607253</v>
      </c>
      <c r="N4" s="79">
        <v>400.71251425583483</v>
      </c>
      <c r="P4" s="34">
        <v>17</v>
      </c>
      <c r="Q4" s="33" t="s">
        <v>60</v>
      </c>
      <c r="R4" s="14"/>
      <c r="S4" s="14"/>
      <c r="T4" s="14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79">
        <v>91.450098927324149</v>
      </c>
      <c r="H5" s="79">
        <v>43.425931385646315</v>
      </c>
      <c r="I5" s="79">
        <v>45.123969687029415</v>
      </c>
      <c r="J5" s="79">
        <v>18526.999999999989</v>
      </c>
      <c r="K5" s="79">
        <v>194.98974332000131</v>
      </c>
      <c r="L5" s="79">
        <v>138.2208377922808</v>
      </c>
      <c r="M5" s="79">
        <v>134.08206442324789</v>
      </c>
      <c r="N5" s="79">
        <v>467.29264553553003</v>
      </c>
      <c r="P5" s="34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79">
        <v>63.086615042098479</v>
      </c>
      <c r="H6" s="79">
        <v>43.43723958735621</v>
      </c>
      <c r="I6" s="79">
        <v>73.476145370545396</v>
      </c>
      <c r="J6" s="79">
        <v>13709.000000000005</v>
      </c>
      <c r="K6" s="79">
        <v>136.18002790424151</v>
      </c>
      <c r="L6" s="79">
        <v>146.4137971640651</v>
      </c>
      <c r="M6" s="79">
        <v>105.00476179678711</v>
      </c>
      <c r="N6" s="79">
        <v>387.59858686509369</v>
      </c>
      <c r="P6" s="34">
        <v>18</v>
      </c>
      <c r="Q6" s="65" t="s">
        <v>54</v>
      </c>
      <c r="R6" s="65"/>
      <c r="S6" s="65"/>
      <c r="T6" s="65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79">
        <v>27.0585082130677</v>
      </c>
      <c r="H7" s="79">
        <v>84.055839131018146</v>
      </c>
      <c r="I7" s="79">
        <v>68.8856526559142</v>
      </c>
      <c r="J7" s="79">
        <v>3496</v>
      </c>
      <c r="K7" s="79">
        <v>41.400483088968905</v>
      </c>
      <c r="L7" s="79">
        <v>84.899941107164494</v>
      </c>
      <c r="M7" s="79">
        <v>90.520715861066847</v>
      </c>
      <c r="N7" s="79">
        <v>216.82114005720024</v>
      </c>
      <c r="P7" s="34"/>
      <c r="Q7" s="65"/>
      <c r="R7" s="65"/>
      <c r="S7" s="65"/>
      <c r="T7" s="65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79">
        <v>23.543366594656415</v>
      </c>
      <c r="H8" s="79">
        <v>34.861933316812738</v>
      </c>
      <c r="I8" s="79">
        <v>121.5947000885308</v>
      </c>
      <c r="J8" s="79">
        <v>11487.999999999984</v>
      </c>
      <c r="K8" s="79">
        <v>97.082439194738001</v>
      </c>
      <c r="L8" s="79">
        <v>207.01932276963907</v>
      </c>
      <c r="M8" s="79">
        <v>138.92443989449805</v>
      </c>
      <c r="N8" s="79">
        <v>443.02620185887514</v>
      </c>
      <c r="P8" s="34"/>
      <c r="Q8" s="65"/>
      <c r="R8" s="65"/>
      <c r="S8" s="65"/>
      <c r="T8" s="65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79">
        <v>130.83916110256348</v>
      </c>
      <c r="H9" s="79">
        <v>34.873575000471696</v>
      </c>
      <c r="I9" s="79">
        <v>14.287263896964657</v>
      </c>
      <c r="J9" s="79">
        <v>1857.9999999999986</v>
      </c>
      <c r="K9" s="79">
        <v>99.809819156233317</v>
      </c>
      <c r="L9" s="79">
        <v>32.557641192199412</v>
      </c>
      <c r="M9" s="79">
        <v>75.432088662584434</v>
      </c>
      <c r="N9" s="79">
        <v>207.79954901101718</v>
      </c>
      <c r="P9" s="34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79">
        <v>52.418157794066431</v>
      </c>
      <c r="H10" s="79">
        <v>37.449936488316631</v>
      </c>
      <c r="I10" s="79">
        <v>90.131905717616903</v>
      </c>
      <c r="J10" s="79">
        <v>16506.000000000007</v>
      </c>
      <c r="K10" s="79">
        <v>146.66969693839283</v>
      </c>
      <c r="L10" s="79">
        <v>185.07566020414461</v>
      </c>
      <c r="M10" s="79">
        <v>112.53888216967503</v>
      </c>
      <c r="N10" s="79">
        <v>444.28423931221249</v>
      </c>
      <c r="P10" s="34">
        <v>19</v>
      </c>
      <c r="Q10" s="65" t="s">
        <v>55</v>
      </c>
      <c r="R10" s="65"/>
      <c r="S10" s="65"/>
      <c r="T10" s="65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79">
        <v>54.07593731588512</v>
      </c>
      <c r="H11" s="79">
        <v>97.184267392426889</v>
      </c>
      <c r="I11" s="79">
        <v>28.739795291688058</v>
      </c>
      <c r="J11" s="79">
        <v>12018.999999999998</v>
      </c>
      <c r="K11" s="79">
        <v>142.83556979968259</v>
      </c>
      <c r="L11" s="79">
        <v>84.811555816409836</v>
      </c>
      <c r="M11" s="79">
        <v>175</v>
      </c>
      <c r="N11" s="79">
        <v>402.64712561609241</v>
      </c>
      <c r="Q11" s="65"/>
      <c r="R11" s="65"/>
      <c r="S11" s="65"/>
      <c r="T11" s="65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79">
        <v>63.807999609549135</v>
      </c>
      <c r="H12" s="79">
        <v>84.478065430793094</v>
      </c>
      <c r="I12" s="79">
        <v>31.71393495965787</v>
      </c>
      <c r="J12" s="79">
        <v>16333</v>
      </c>
      <c r="K12" s="79">
        <v>167.36188335460378</v>
      </c>
      <c r="L12" s="79">
        <v>98.045907614749524</v>
      </c>
      <c r="M12" s="79">
        <v>185.64751546950473</v>
      </c>
      <c r="N12" s="79">
        <v>451.055306438858</v>
      </c>
      <c r="Q12" s="65"/>
      <c r="R12" s="65"/>
      <c r="S12" s="65"/>
      <c r="T12" s="65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79">
        <v>178.14761269720339</v>
      </c>
      <c r="H13" s="79">
        <v>1.2775709972209182</v>
      </c>
      <c r="I13" s="79">
        <v>0.57481630556929753</v>
      </c>
      <c r="J13" s="79">
        <v>149.99999999977916</v>
      </c>
      <c r="K13" s="79">
        <v>147.23111084278349</v>
      </c>
      <c r="L13" s="79">
        <v>45.694638635183452</v>
      </c>
      <c r="M13" s="79">
        <v>101.55294185792945</v>
      </c>
      <c r="N13" s="79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79">
        <v>80.614542737266675</v>
      </c>
      <c r="H14" s="79">
        <v>54.623307379650178</v>
      </c>
      <c r="I14" s="79">
        <v>44.762149883083083</v>
      </c>
      <c r="J14" s="79">
        <v>15112.999999999996</v>
      </c>
      <c r="K14" s="79">
        <v>161.15210206509875</v>
      </c>
      <c r="L14" s="79">
        <v>115.0173899895142</v>
      </c>
      <c r="M14" s="79">
        <v>133.18032887780387</v>
      </c>
      <c r="N14" s="79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79">
        <v>51.441999439848495</v>
      </c>
      <c r="H15" s="79">
        <v>69.673927973325561</v>
      </c>
      <c r="I15" s="79">
        <v>58.884072586825873</v>
      </c>
      <c r="J15" s="79">
        <v>5085.9999999999991</v>
      </c>
      <c r="K15" s="79">
        <v>70.384657419071104</v>
      </c>
      <c r="L15" s="79">
        <v>77.058419397233934</v>
      </c>
      <c r="M15" s="79">
        <v>84.403791384036765</v>
      </c>
      <c r="N15" s="79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79">
        <v>71.182480931978702</v>
      </c>
      <c r="H16" s="79">
        <v>19.153856733935445</v>
      </c>
      <c r="I16" s="79">
        <v>89.663662334085799</v>
      </c>
      <c r="J16" s="79">
        <v>3406.9999999999914</v>
      </c>
      <c r="K16" s="79">
        <v>99.141313285632847</v>
      </c>
      <c r="L16" s="79">
        <v>104.7377677822093</v>
      </c>
      <c r="M16" s="79">
        <v>34.365680554879162</v>
      </c>
      <c r="N16" s="79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79">
        <v>145.50972490545837</v>
      </c>
      <c r="H17" s="79">
        <v>15.025457165319999</v>
      </c>
      <c r="I17" s="79">
        <v>19.464817929222001</v>
      </c>
      <c r="J17" s="79">
        <v>3846.0000000000418</v>
      </c>
      <c r="K17" s="79">
        <v>158.7765725792064</v>
      </c>
      <c r="L17" s="79">
        <v>93.434469014384618</v>
      </c>
      <c r="M17" s="79">
        <v>72.691127381544987</v>
      </c>
      <c r="N17" s="79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79">
        <v>43.815522268731321</v>
      </c>
      <c r="H18" s="79">
        <v>72.658871105027345</v>
      </c>
      <c r="I18" s="79">
        <v>63.525606626241341</v>
      </c>
      <c r="J18" s="79">
        <v>10372.999999999998</v>
      </c>
      <c r="K18" s="79">
        <v>91.678787077491378</v>
      </c>
      <c r="L18" s="79">
        <v>118.53269591129698</v>
      </c>
      <c r="M18" s="79">
        <v>126.40015822774906</v>
      </c>
      <c r="N18" s="79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79">
        <v>22.290919139948436</v>
      </c>
      <c r="H19" s="79">
        <v>142.89719396423553</v>
      </c>
      <c r="I19" s="79">
        <v>14.81188689581653</v>
      </c>
      <c r="J19" s="79">
        <v>3709.9999999999955</v>
      </c>
      <c r="K19" s="79">
        <v>95.524865872714003</v>
      </c>
      <c r="L19" s="79">
        <v>64.381674411279491</v>
      </c>
      <c r="M19" s="79">
        <v>151.92103211866353</v>
      </c>
      <c r="N19" s="79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79">
        <v>61.987858592645289</v>
      </c>
      <c r="H20" s="79">
        <v>75.612768399279631</v>
      </c>
      <c r="I20" s="79">
        <v>42.399373008075095</v>
      </c>
      <c r="J20" s="79">
        <v>4487</v>
      </c>
      <c r="K20" s="79">
        <v>77.878109889750149</v>
      </c>
      <c r="L20" s="79">
        <v>59.481089431852205</v>
      </c>
      <c r="M20" s="79">
        <v>85.445889310135925</v>
      </c>
      <c r="N20" s="79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79">
        <v>9.5415387125488937</v>
      </c>
      <c r="H21" s="79">
        <v>15.008913676658743</v>
      </c>
      <c r="I21" s="79">
        <v>155.44954761079268</v>
      </c>
      <c r="J21" s="79">
        <v>2109.0000000000082</v>
      </c>
      <c r="K21" s="79">
        <v>57</v>
      </c>
      <c r="L21" s="79">
        <v>142.87407042567241</v>
      </c>
      <c r="M21" s="79">
        <v>89.050547443572739</v>
      </c>
      <c r="N21" s="79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79">
        <v>23.776592785988477</v>
      </c>
      <c r="H22" s="79">
        <v>115.15690317286972</v>
      </c>
      <c r="I22" s="79">
        <v>41.066504041141755</v>
      </c>
      <c r="J22" s="79">
        <v>8302.0000000000018</v>
      </c>
      <c r="K22" s="79">
        <v>75.026661927610775</v>
      </c>
      <c r="L22" s="79">
        <v>122.24974437601087</v>
      </c>
      <c r="M22" s="79">
        <v>168.43990026119107</v>
      </c>
      <c r="N22" s="79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79">
        <v>38.482822923302493</v>
      </c>
      <c r="H23" s="79">
        <v>118.53761429541746</v>
      </c>
      <c r="I23" s="79">
        <v>22.979562781280098</v>
      </c>
      <c r="J23" s="79">
        <v>4908</v>
      </c>
      <c r="K23" s="79">
        <v>94.36630754670864</v>
      </c>
      <c r="L23" s="79">
        <v>59.203040462462738</v>
      </c>
      <c r="M23" s="79">
        <v>133.22161986704711</v>
      </c>
      <c r="N23" s="79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79">
        <v>63.257012191511606</v>
      </c>
      <c r="H24" s="79">
        <v>77.54669319198446</v>
      </c>
      <c r="I24" s="79">
        <v>39.19629461650387</v>
      </c>
      <c r="J24" s="79">
        <v>6429.9999999999991</v>
      </c>
      <c r="K24" s="79">
        <v>96.462427918853464</v>
      </c>
      <c r="L24" s="79">
        <v>68.264192663504048</v>
      </c>
      <c r="M24" s="79">
        <v>105.47511554864494</v>
      </c>
      <c r="N24" s="79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79">
        <v>43.023902103128215</v>
      </c>
      <c r="H25" s="79">
        <v>14.772938141053261</v>
      </c>
      <c r="I25" s="79">
        <v>122.20315975581845</v>
      </c>
      <c r="J25" s="79">
        <v>4910.9999999999754</v>
      </c>
      <c r="K25" s="79">
        <v>124.61942063739504</v>
      </c>
      <c r="L25" s="79">
        <v>154.54772725601629</v>
      </c>
      <c r="M25" s="79">
        <v>46.572524088780071</v>
      </c>
      <c r="N25" s="79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79">
        <v>130.66768601681142</v>
      </c>
      <c r="H26" s="79">
        <v>41.947117485207571</v>
      </c>
      <c r="I26" s="79">
        <v>7.3851964979808304</v>
      </c>
      <c r="J26" s="79">
        <v>2555.9999999999995</v>
      </c>
      <c r="K26" s="79">
        <v>150.21318184500319</v>
      </c>
      <c r="L26" s="79">
        <v>25.45584412271571</v>
      </c>
      <c r="M26" s="79">
        <v>132.3782459469833</v>
      </c>
      <c r="N26" s="79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79">
        <v>55.042940723831862</v>
      </c>
      <c r="H27" s="79">
        <v>23.040218366450549</v>
      </c>
      <c r="I27" s="79">
        <v>101.91684090971758</v>
      </c>
      <c r="J27" s="79">
        <v>14855.000000000022</v>
      </c>
      <c r="K27" s="79">
        <v>178.30591689565435</v>
      </c>
      <c r="L27" s="79">
        <v>212.86850401127921</v>
      </c>
      <c r="M27" s="79">
        <v>85.14693182963201</v>
      </c>
      <c r="N27" s="79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79">
        <v>105.45455621512447</v>
      </c>
      <c r="H28" s="79">
        <v>34.601343514979156</v>
      </c>
      <c r="I28" s="79">
        <v>39.944100269896211</v>
      </c>
      <c r="J28" s="79">
        <v>8159.9999999999836</v>
      </c>
      <c r="K28" s="79">
        <v>146.87409574189726</v>
      </c>
      <c r="L28" s="79">
        <v>97.836598469080073</v>
      </c>
      <c r="M28" s="79">
        <v>86.53323061113575</v>
      </c>
      <c r="N28" s="79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79">
        <v>6.2805610355424903</v>
      </c>
      <c r="H29" s="79">
        <v>152.51605764849953</v>
      </c>
      <c r="I29" s="79">
        <v>21.203381315957945</v>
      </c>
      <c r="J29" s="79">
        <v>1184.000000000002</v>
      </c>
      <c r="K29" s="79">
        <v>27.856776554368238</v>
      </c>
      <c r="L29" s="79">
        <v>92.097774131626011</v>
      </c>
      <c r="M29" s="79">
        <v>117.51595636338071</v>
      </c>
      <c r="N29" s="79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79">
        <v>149.63310187053602</v>
      </c>
      <c r="H30" s="79">
        <v>22.208511235429423</v>
      </c>
      <c r="I30" s="79">
        <v>8.1583868940346917</v>
      </c>
      <c r="J30" s="79">
        <v>2114.0000000000059</v>
      </c>
      <c r="K30" s="79">
        <v>141.15239990875111</v>
      </c>
      <c r="L30" s="79">
        <v>39.623225512317902</v>
      </c>
      <c r="M30" s="79">
        <v>105.53672346628922</v>
      </c>
      <c r="N30" s="79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79">
        <v>60.671745676477592</v>
      </c>
      <c r="H31" s="79">
        <v>25.905869817716045</v>
      </c>
      <c r="I31" s="79">
        <v>93.422384505806249</v>
      </c>
      <c r="J31" s="79">
        <v>14112.999999999964</v>
      </c>
      <c r="K31" s="79">
        <v>167.96725871431016</v>
      </c>
      <c r="L31" s="79">
        <v>192.31744590650115</v>
      </c>
      <c r="M31" s="79">
        <v>84.172442046075858</v>
      </c>
      <c r="N31" s="79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79">
        <v>74.530425232267149</v>
      </c>
      <c r="H32" s="79">
        <v>5.2205539839765773</v>
      </c>
      <c r="I32" s="79">
        <v>100.2490207837559</v>
      </c>
      <c r="J32" s="79">
        <v>1354.9999999999243</v>
      </c>
      <c r="K32" s="79">
        <v>120.76837334335509</v>
      </c>
      <c r="L32" s="79">
        <v>123.30855606972291</v>
      </c>
      <c r="M32" s="79">
        <v>11.401754250991379</v>
      </c>
      <c r="N32" s="79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79">
        <v>43.170086360492895</v>
      </c>
      <c r="H33" s="79">
        <v>38.938211211271316</v>
      </c>
      <c r="I33" s="79">
        <v>97.891702428235689</v>
      </c>
      <c r="J33" s="79">
        <v>3938.9999999999959</v>
      </c>
      <c r="K33" s="79">
        <v>65.79513659838392</v>
      </c>
      <c r="L33" s="79">
        <v>95.257545632878873</v>
      </c>
      <c r="M33" s="79">
        <v>60.440052945046304</v>
      </c>
      <c r="N33" s="79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79">
        <v>105.58440116690444</v>
      </c>
      <c r="H34" s="79">
        <v>16.175078917908351</v>
      </c>
      <c r="I34" s="79">
        <v>58.240519915187235</v>
      </c>
      <c r="J34" s="79">
        <v>735</v>
      </c>
      <c r="K34" s="79">
        <v>54.671747731346578</v>
      </c>
      <c r="L34" s="79">
        <v>48.259714048054619</v>
      </c>
      <c r="M34" s="79">
        <v>15.811388300841896</v>
      </c>
      <c r="N34" s="79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79">
        <v>41.421988593552385</v>
      </c>
      <c r="H35" s="79">
        <v>52.136456504046564</v>
      </c>
      <c r="I35" s="79">
        <v>86.441554902400895</v>
      </c>
      <c r="J35" s="79">
        <v>15951.999999999984</v>
      </c>
      <c r="K35" s="79">
        <v>115.73245007343446</v>
      </c>
      <c r="L35" s="79">
        <v>174.59095051004218</v>
      </c>
      <c r="M35" s="79">
        <v>138.10141201305655</v>
      </c>
      <c r="N35" s="79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79">
        <v>81.025955199067425</v>
      </c>
      <c r="H36" s="79">
        <v>50.28997732329271</v>
      </c>
      <c r="I36" s="79">
        <v>48.68406747763985</v>
      </c>
      <c r="J36" s="79">
        <v>16596.999999999996</v>
      </c>
      <c r="K36" s="79">
        <v>168.44286865284622</v>
      </c>
      <c r="L36" s="79">
        <v>128.08200498118384</v>
      </c>
      <c r="M36" s="79">
        <v>131.18688958886096</v>
      </c>
      <c r="N36" s="79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79">
        <v>24.024006362844364</v>
      </c>
      <c r="H37" s="79">
        <v>23.11707510695793</v>
      </c>
      <c r="I37" s="79">
        <v>132.85891853019774</v>
      </c>
      <c r="J37" s="79">
        <v>3080.0000000000023</v>
      </c>
      <c r="K37" s="79">
        <v>66.007575322836999</v>
      </c>
      <c r="L37" s="79">
        <v>118.84864324004712</v>
      </c>
      <c r="M37" s="79">
        <v>63.655321851358195</v>
      </c>
      <c r="N37" s="79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79">
        <v>154.45178531198459</v>
      </c>
      <c r="H38" s="79">
        <v>11.119915313473882</v>
      </c>
      <c r="I38" s="79">
        <v>14.428299374541314</v>
      </c>
      <c r="J38" s="79">
        <v>4618.9999999999727</v>
      </c>
      <c r="K38" s="79">
        <v>203.60009823180343</v>
      </c>
      <c r="L38" s="79">
        <v>117.63077828527702</v>
      </c>
      <c r="M38" s="79">
        <v>91.049437120720299</v>
      </c>
      <c r="N38" s="79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79">
        <v>22.971813832400485</v>
      </c>
      <c r="H39" s="79">
        <v>17.487499787306099</v>
      </c>
      <c r="I39" s="79">
        <v>139.54068638029335</v>
      </c>
      <c r="J39" s="79">
        <v>5425.0000000000045</v>
      </c>
      <c r="K39" s="79">
        <v>104.20172743289815</v>
      </c>
      <c r="L39" s="79">
        <v>173.25414857947845</v>
      </c>
      <c r="M39" s="79">
        <v>80.230916734136841</v>
      </c>
      <c r="N39" s="79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79">
        <v>45.451451529508851</v>
      </c>
      <c r="H40" s="79">
        <v>73.609849578230609</v>
      </c>
      <c r="I40" s="79">
        <v>60.938698892260618</v>
      </c>
      <c r="J40" s="79">
        <v>10169</v>
      </c>
      <c r="K40" s="79">
        <v>92.962357973536797</v>
      </c>
      <c r="L40" s="79">
        <v>114.02192771568107</v>
      </c>
      <c r="M40" s="79">
        <v>125.14391715141412</v>
      </c>
      <c r="N40" s="79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79">
        <v>54.621801760071435</v>
      </c>
      <c r="H41" s="79">
        <v>42.389639943385731</v>
      </c>
      <c r="I41" s="79">
        <v>82.988558296542735</v>
      </c>
      <c r="J41" s="79">
        <v>13041.999999999989</v>
      </c>
      <c r="K41" s="79">
        <v>126.0634760745554</v>
      </c>
      <c r="L41" s="79">
        <v>153.45683432157722</v>
      </c>
      <c r="M41" s="79">
        <v>104.23531071570709</v>
      </c>
      <c r="N41" s="79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79">
        <v>94.59488568615626</v>
      </c>
      <c r="H42" s="79">
        <v>43.433492313112744</v>
      </c>
      <c r="I42" s="79">
        <v>41.971622000730875</v>
      </c>
      <c r="J42" s="79">
        <v>8037.9999999999945</v>
      </c>
      <c r="K42" s="79">
        <v>132.0075755401939</v>
      </c>
      <c r="L42" s="79">
        <v>88.566359301938121</v>
      </c>
      <c r="M42" s="79">
        <v>91.049437120720299</v>
      </c>
      <c r="N42" s="79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79">
        <v>36.100024762914678</v>
      </c>
      <c r="H43" s="79">
        <v>65.74144875907767</v>
      </c>
      <c r="I43" s="79">
        <v>78.158526478007559</v>
      </c>
      <c r="J43" s="79">
        <v>14689.999999999998</v>
      </c>
      <c r="K43" s="79">
        <v>98.488578017961046</v>
      </c>
      <c r="L43" s="79">
        <v>163.60012224934309</v>
      </c>
      <c r="M43" s="79">
        <v>152.3975065412817</v>
      </c>
      <c r="N43" s="79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79">
        <v>18.663066182327583</v>
      </c>
      <c r="H44" s="79">
        <v>14.317931363127959</v>
      </c>
      <c r="I44" s="79">
        <v>147.01900245454448</v>
      </c>
      <c r="J44" s="79">
        <v>305.00000000000034</v>
      </c>
      <c r="K44" s="79">
        <v>26.92582403567252</v>
      </c>
      <c r="L44" s="79">
        <v>45.803929962395145</v>
      </c>
      <c r="M44" s="79">
        <v>20.808652046684813</v>
      </c>
      <c r="N44" s="79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79">
        <v>121.03174990938801</v>
      </c>
      <c r="H45" s="79">
        <v>43.135561368081746</v>
      </c>
      <c r="I45" s="79">
        <v>15.832688722530373</v>
      </c>
      <c r="J45" s="79">
        <v>1486</v>
      </c>
      <c r="K45" s="79">
        <v>82.619610262939389</v>
      </c>
      <c r="L45" s="79">
        <v>26.305892875931811</v>
      </c>
      <c r="M45" s="79">
        <v>65.924198895398035</v>
      </c>
      <c r="N45" s="79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79">
        <v>36.641173194118814</v>
      </c>
      <c r="H46" s="79">
        <v>85.601294645004444</v>
      </c>
      <c r="I46" s="79">
        <v>57.757532160876664</v>
      </c>
      <c r="J46" s="79">
        <v>1495</v>
      </c>
      <c r="K46" s="79">
        <v>32.526911934581186</v>
      </c>
      <c r="L46" s="79">
        <v>46.097722286464439</v>
      </c>
      <c r="M46" s="79">
        <v>54.341512676774101</v>
      </c>
      <c r="N46" s="79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79">
        <v>4.4295592989764563</v>
      </c>
      <c r="H47" s="79">
        <v>0.33408239174132559</v>
      </c>
      <c r="I47" s="79">
        <v>175.23635830927086</v>
      </c>
      <c r="J47" s="79">
        <v>109.9999999976245</v>
      </c>
      <c r="K47" s="79">
        <v>132.45754036671525</v>
      </c>
      <c r="L47" s="79">
        <v>142.42541907960108</v>
      </c>
      <c r="M47" s="79">
        <v>10</v>
      </c>
      <c r="N47" s="79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79">
        <v>109.62689472182669</v>
      </c>
      <c r="H48" s="79">
        <v>49.904040854794317</v>
      </c>
      <c r="I48" s="79">
        <v>20.469064423379042</v>
      </c>
      <c r="J48" s="79">
        <v>11054.000000000002</v>
      </c>
      <c r="K48" s="79">
        <v>197.28405916343064</v>
      </c>
      <c r="L48" s="79">
        <v>73.246160308919954</v>
      </c>
      <c r="M48" s="79">
        <v>160.22484201895784</v>
      </c>
      <c r="N48" s="79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79">
        <v>60.812823490340165</v>
      </c>
      <c r="H49" s="79">
        <v>63.257305640106772</v>
      </c>
      <c r="I49" s="79">
        <v>55.929870869553042</v>
      </c>
      <c r="J49" s="79">
        <v>30270.999999999996</v>
      </c>
      <c r="K49" s="79">
        <v>189.01058171435798</v>
      </c>
      <c r="L49" s="79">
        <v>179.33767033169579</v>
      </c>
      <c r="M49" s="79">
        <v>193.34166648707671</v>
      </c>
      <c r="N49" s="79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79">
        <v>0.9191047837006201</v>
      </c>
      <c r="H50" s="79">
        <v>179.01788283675256</v>
      </c>
      <c r="I50" s="79">
        <v>6.3012379465895552E-2</v>
      </c>
      <c r="J50" s="79">
        <v>18.000000000426038</v>
      </c>
      <c r="K50" s="79">
        <v>123.76186811776881</v>
      </c>
      <c r="L50" s="79">
        <v>8.4852813742385695</v>
      </c>
      <c r="M50" s="79">
        <v>132.24598292575845</v>
      </c>
      <c r="N50" s="79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79">
        <v>56.221987380251882</v>
      </c>
      <c r="H51" s="79">
        <v>53.860518629400701</v>
      </c>
      <c r="I51" s="79">
        <v>69.917493990347438</v>
      </c>
      <c r="J51" s="79">
        <v>26734</v>
      </c>
      <c r="K51" s="79">
        <v>171.16366436834659</v>
      </c>
      <c r="L51" s="79">
        <v>193.40372281835735</v>
      </c>
      <c r="M51" s="79">
        <v>166.30093204789924</v>
      </c>
      <c r="N51" s="79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79">
        <v>17.612878631460053</v>
      </c>
      <c r="H52" s="79">
        <v>132.59364658871519</v>
      </c>
      <c r="I52" s="79">
        <v>29.793474779824834</v>
      </c>
      <c r="J52" s="79">
        <v>10464.000000000004</v>
      </c>
      <c r="K52" s="79">
        <v>93.037626796904064</v>
      </c>
      <c r="L52" s="79">
        <v>152.77761616153069</v>
      </c>
      <c r="M52" s="79">
        <v>226.35591443565153</v>
      </c>
      <c r="N52" s="79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79">
        <v>36.385402761013445</v>
      </c>
      <c r="H53" s="79">
        <v>36.320110148679568</v>
      </c>
      <c r="I53" s="79">
        <v>107.2944870903069</v>
      </c>
      <c r="J53" s="79">
        <v>12332.999999999985</v>
      </c>
      <c r="K53" s="79">
        <v>113.74093370462545</v>
      </c>
      <c r="L53" s="79">
        <v>183.06829326784035</v>
      </c>
      <c r="M53" s="79">
        <v>113.5649593844862</v>
      </c>
      <c r="N53" s="79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79">
        <v>157.73454980094627</v>
      </c>
      <c r="H54" s="79">
        <v>10.094824814274565</v>
      </c>
      <c r="I54" s="79">
        <v>12.170625384779749</v>
      </c>
      <c r="J54" s="79">
        <v>2780.0000000000773</v>
      </c>
      <c r="K54" s="79">
        <v>168.83423823383691</v>
      </c>
      <c r="L54" s="79">
        <v>93.941471140279674</v>
      </c>
      <c r="M54" s="79">
        <v>78.10249675906654</v>
      </c>
      <c r="N54" s="79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79">
        <v>48.094799011702236</v>
      </c>
      <c r="H55" s="79">
        <v>84.202900320440932</v>
      </c>
      <c r="I55" s="79">
        <v>47.702300667856733</v>
      </c>
      <c r="J55" s="79">
        <v>13179.000000000002</v>
      </c>
      <c r="K55" s="79">
        <v>115.45128842936315</v>
      </c>
      <c r="L55" s="79">
        <v>114.73883387938018</v>
      </c>
      <c r="M55" s="79">
        <v>154.33081351434652</v>
      </c>
      <c r="N55" s="79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79">
        <v>86.566369637549457</v>
      </c>
      <c r="H56" s="79">
        <v>54.246112745563217</v>
      </c>
      <c r="I56" s="79">
        <v>39.187517616887241</v>
      </c>
      <c r="J56" s="79">
        <v>3899.9999999999977</v>
      </c>
      <c r="K56" s="79">
        <v>87.13208364316786</v>
      </c>
      <c r="L56" s="79">
        <v>55.154328932550705</v>
      </c>
      <c r="M56" s="79">
        <v>70.837842993699354</v>
      </c>
      <c r="N56" s="79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79">
        <v>80.132643624315108</v>
      </c>
      <c r="H57" s="79">
        <v>42.660481920146793</v>
      </c>
      <c r="I57" s="79">
        <v>57.206874455538134</v>
      </c>
      <c r="J57" s="79">
        <v>28090.000000000011</v>
      </c>
      <c r="K57" s="79">
        <v>220.41097976280582</v>
      </c>
      <c r="L57" s="79">
        <v>188.06647760831805</v>
      </c>
      <c r="M57" s="79">
        <v>151.6047492659778</v>
      </c>
      <c r="N57" s="79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79">
        <v>54.950626687951662</v>
      </c>
      <c r="H58" s="79">
        <v>19.330122533133142</v>
      </c>
      <c r="I58" s="79">
        <v>105.71925077891532</v>
      </c>
      <c r="J58" s="79">
        <v>2345.0000000000064</v>
      </c>
      <c r="K58" s="79">
        <v>77.620873481300123</v>
      </c>
      <c r="L58" s="79">
        <v>91.268833672837076</v>
      </c>
      <c r="M58" s="79">
        <v>31.384709652950431</v>
      </c>
      <c r="N58" s="79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79">
        <v>11.309932474020323</v>
      </c>
      <c r="H59" s="79">
        <v>9.4623222080257747</v>
      </c>
      <c r="I59" s="79">
        <v>159.22774531795415</v>
      </c>
      <c r="J59" s="79">
        <v>814.00000000001342</v>
      </c>
      <c r="K59" s="79">
        <v>52.32590180780452</v>
      </c>
      <c r="L59" s="79">
        <v>94.62557793746889</v>
      </c>
      <c r="M59" s="79">
        <v>43.863424398922618</v>
      </c>
      <c r="N59" s="79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79">
        <v>31.401553600099056</v>
      </c>
      <c r="H60" s="79">
        <v>73.177761561551222</v>
      </c>
      <c r="I60" s="79">
        <v>75.420684838349729</v>
      </c>
      <c r="J60" s="79">
        <v>17682.000000000004</v>
      </c>
      <c r="K60" s="79">
        <v>99.724620831567975</v>
      </c>
      <c r="L60" s="79">
        <v>185.23498589629335</v>
      </c>
      <c r="M60" s="79">
        <v>183.20753259623362</v>
      </c>
      <c r="N60" s="79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79">
        <v>10.411363326221819</v>
      </c>
      <c r="H61" s="79">
        <v>61.870537002532366</v>
      </c>
      <c r="I61" s="79">
        <v>107.71809967124577</v>
      </c>
      <c r="J61" s="79">
        <v>1877.9999999999993</v>
      </c>
      <c r="K61" s="79">
        <v>20.09975124224178</v>
      </c>
      <c r="L61" s="79">
        <v>105.94810050208545</v>
      </c>
      <c r="M61" s="79">
        <v>98.086696345630884</v>
      </c>
      <c r="N61" s="79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79">
        <v>70.559965171823848</v>
      </c>
      <c r="H62" s="79">
        <v>76.75948008481285</v>
      </c>
      <c r="I62" s="79">
        <v>32.680554743363416</v>
      </c>
      <c r="J62" s="79">
        <v>7072.0000000000009</v>
      </c>
      <c r="K62" s="79">
        <v>112.64102272262978</v>
      </c>
      <c r="L62" s="79">
        <v>64.498061986388393</v>
      </c>
      <c r="M62" s="79">
        <v>116.27553482998907</v>
      </c>
      <c r="N62" s="79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79">
        <v>64.266469242399154</v>
      </c>
      <c r="H63" s="79">
        <v>58.577113771877904</v>
      </c>
      <c r="I63" s="79">
        <v>57.156416985722885</v>
      </c>
      <c r="J63" s="79">
        <v>11103.999999999998</v>
      </c>
      <c r="K63" s="79">
        <v>118.1185844818672</v>
      </c>
      <c r="L63" s="79">
        <v>110.16351483136329</v>
      </c>
      <c r="M63" s="79">
        <v>111.89280584559492</v>
      </c>
      <c r="N63" s="79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79">
        <v>60.860884891891054</v>
      </c>
      <c r="H64" s="79">
        <v>61.527058958428178</v>
      </c>
      <c r="I64" s="79">
        <v>57.612056149680683</v>
      </c>
      <c r="J64" s="79">
        <v>1782.9999999999991</v>
      </c>
      <c r="K64" s="79">
        <v>45.803929962395145</v>
      </c>
      <c r="L64" s="79">
        <v>44.283179650969061</v>
      </c>
      <c r="M64" s="79">
        <v>46.097722286464439</v>
      </c>
      <c r="N64" s="79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79">
        <v>12.528807709151433</v>
      </c>
      <c r="H65" s="79">
        <v>149.03624346792643</v>
      </c>
      <c r="I65" s="79">
        <v>18.434948822922006</v>
      </c>
      <c r="J65" s="79">
        <v>3510.0000000000059</v>
      </c>
      <c r="K65" s="79">
        <v>68.410525505948286</v>
      </c>
      <c r="L65" s="79">
        <v>99.724620831567975</v>
      </c>
      <c r="M65" s="79">
        <v>162.24980739587951</v>
      </c>
      <c r="N65" s="79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79">
        <v>107.74133877267688</v>
      </c>
      <c r="H66" s="79">
        <v>36.881710396589966</v>
      </c>
      <c r="I66" s="79">
        <v>35.376950830733215</v>
      </c>
      <c r="J66" s="79">
        <v>8733.0000000000073</v>
      </c>
      <c r="K66" s="79">
        <v>154.719100307622</v>
      </c>
      <c r="L66" s="79">
        <v>94.047860156411858</v>
      </c>
      <c r="M66" s="79">
        <v>97.49358953285082</v>
      </c>
      <c r="N66" s="79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79">
        <v>12.769085970665559</v>
      </c>
      <c r="H67" s="79">
        <v>163.40048466948576</v>
      </c>
      <c r="I67" s="79">
        <v>3.8304293598483969</v>
      </c>
      <c r="J67" s="79">
        <v>3207.0000000000036</v>
      </c>
      <c r="K67" s="79">
        <v>192.7200041511</v>
      </c>
      <c r="L67" s="79">
        <v>58.249463516842795</v>
      </c>
      <c r="M67" s="79">
        <v>249.09837414162303</v>
      </c>
      <c r="N67" s="79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79">
        <v>5.7542379384965336</v>
      </c>
      <c r="H68" s="79">
        <v>88.518542829113017</v>
      </c>
      <c r="I68" s="79">
        <v>85.727219232390709</v>
      </c>
      <c r="J68" s="79">
        <v>2436</v>
      </c>
      <c r="K68" s="79">
        <v>15.652475842498529</v>
      </c>
      <c r="L68" s="79">
        <v>155.68236894394946</v>
      </c>
      <c r="M68" s="79">
        <v>156.06408939919524</v>
      </c>
      <c r="N68" s="79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79">
        <v>33.589816359453728</v>
      </c>
      <c r="H69" s="79">
        <v>80.100629977293323</v>
      </c>
      <c r="I69" s="79">
        <v>66.309553663252871</v>
      </c>
      <c r="J69" s="79">
        <v>2016.9999999999998</v>
      </c>
      <c r="K69" s="79">
        <v>35.171010790137949</v>
      </c>
      <c r="L69" s="79">
        <v>58.215118311311535</v>
      </c>
      <c r="M69" s="79">
        <v>62.625873247404705</v>
      </c>
      <c r="N69" s="79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79">
        <v>139.76364169072627</v>
      </c>
      <c r="H70" s="79">
        <v>33.47276472650438</v>
      </c>
      <c r="I70" s="79">
        <v>6.7635935827698495</v>
      </c>
      <c r="J70" s="79">
        <v>1936.0000000000064</v>
      </c>
      <c r="K70" s="79">
        <v>138.75157656761959</v>
      </c>
      <c r="L70" s="79">
        <v>25.298221281347036</v>
      </c>
      <c r="M70" s="79">
        <v>118.47362575695909</v>
      </c>
      <c r="N70" s="79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79">
        <v>34.22842174076775</v>
      </c>
      <c r="H71" s="79">
        <v>34.618538521663055</v>
      </c>
      <c r="I71" s="79">
        <v>111.1530397375692</v>
      </c>
      <c r="J71" s="79">
        <v>3520.0000000000005</v>
      </c>
      <c r="K71" s="79">
        <v>61.1310068623117</v>
      </c>
      <c r="L71" s="79">
        <v>101.35580891098448</v>
      </c>
      <c r="M71" s="79">
        <v>61.741396161732524</v>
      </c>
      <c r="N71" s="79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D30" sqref="D30"/>
    </sheetView>
  </sheetViews>
  <sheetFormatPr defaultColWidth="9.140625" defaultRowHeight="12.75" x14ac:dyDescent="0.2"/>
  <cols>
    <col min="1" max="1" width="21.140625" style="49" customWidth="1"/>
    <col min="2" max="2" width="15.7109375" style="53" customWidth="1"/>
    <col min="3" max="3" width="14.5703125" style="53" customWidth="1"/>
    <col min="4" max="4" width="23.140625" style="54" customWidth="1"/>
    <col min="5" max="10" width="9.140625" style="49"/>
    <col min="11" max="11" width="9.140625" style="52"/>
    <col min="12" max="16384" width="9.140625" style="49"/>
  </cols>
  <sheetData>
    <row r="1" spans="1:17" ht="55.5" customHeight="1" x14ac:dyDescent="0.2">
      <c r="A1" s="55"/>
      <c r="B1" s="56" t="s">
        <v>99</v>
      </c>
      <c r="C1" s="56" t="s">
        <v>100</v>
      </c>
      <c r="D1" s="57" t="s">
        <v>98</v>
      </c>
      <c r="F1" s="69"/>
      <c r="G1" s="69"/>
      <c r="H1" s="69"/>
      <c r="I1" s="69"/>
      <c r="J1" s="69"/>
      <c r="K1" s="50"/>
      <c r="M1" s="51"/>
      <c r="N1" s="51"/>
      <c r="O1" s="51"/>
      <c r="P1" s="51"/>
    </row>
    <row r="2" spans="1:17" ht="13.15" customHeight="1" x14ac:dyDescent="0.2">
      <c r="A2" s="55" t="s">
        <v>61</v>
      </c>
      <c r="B2" s="58">
        <v>2</v>
      </c>
      <c r="C2" s="59">
        <v>0</v>
      </c>
      <c r="D2" s="23">
        <f>B2*cenas!J2-pirkums!B2*cenas!J2*pirkums!C2</f>
        <v>50</v>
      </c>
      <c r="L2" s="72" t="s">
        <v>3906</v>
      </c>
      <c r="M2" s="72"/>
      <c r="N2" s="72"/>
      <c r="O2" s="72"/>
      <c r="P2" s="72"/>
    </row>
    <row r="3" spans="1:17" ht="13.15" customHeight="1" x14ac:dyDescent="0.2">
      <c r="A3" s="55" t="s">
        <v>62</v>
      </c>
      <c r="B3" s="58">
        <v>1</v>
      </c>
      <c r="C3" s="59">
        <v>3.5000000000000003E-2</v>
      </c>
      <c r="D3" s="23">
        <f>B3*cenas!J3-pirkums!B3*cenas!J3*pirkums!C3</f>
        <v>48.25</v>
      </c>
      <c r="K3" s="52">
        <v>22</v>
      </c>
      <c r="L3" s="72"/>
      <c r="M3" s="72"/>
      <c r="N3" s="72"/>
      <c r="O3" s="72"/>
      <c r="P3" s="72"/>
      <c r="Q3" s="49" t="s">
        <v>3884</v>
      </c>
    </row>
    <row r="4" spans="1:17" ht="13.15" customHeight="1" x14ac:dyDescent="0.2">
      <c r="A4" s="55" t="s">
        <v>63</v>
      </c>
      <c r="B4" s="58">
        <v>2</v>
      </c>
      <c r="C4" s="59">
        <v>0.03</v>
      </c>
      <c r="D4" s="23">
        <f>B4*cenas!J4-pirkums!B4*cenas!J4*pirkums!C4</f>
        <v>261.89999999999998</v>
      </c>
      <c r="L4" s="72"/>
      <c r="M4" s="72"/>
      <c r="N4" s="72"/>
      <c r="O4" s="72"/>
      <c r="P4" s="72"/>
    </row>
    <row r="5" spans="1:17" x14ac:dyDescent="0.2">
      <c r="A5" s="55" t="s">
        <v>64</v>
      </c>
      <c r="B5" s="58">
        <v>2</v>
      </c>
      <c r="C5" s="59">
        <v>2.5000000000000001E-2</v>
      </c>
      <c r="D5" s="23">
        <f>B5*cenas!J5-pirkums!B5*cenas!J5*pirkums!C5</f>
        <v>136.5</v>
      </c>
      <c r="L5" s="72"/>
      <c r="M5" s="72"/>
      <c r="N5" s="72"/>
      <c r="O5" s="72"/>
      <c r="P5" s="72"/>
    </row>
    <row r="6" spans="1:17" ht="13.9" customHeight="1" x14ac:dyDescent="0.2">
      <c r="A6" s="55" t="s">
        <v>65</v>
      </c>
      <c r="B6" s="58">
        <v>2</v>
      </c>
      <c r="C6" s="59">
        <v>5.0000000000000001E-3</v>
      </c>
      <c r="D6" s="23">
        <f>B6*cenas!J6-pirkums!B6*cenas!J6*pirkums!C6</f>
        <v>139.30000000000001</v>
      </c>
      <c r="L6" s="72"/>
      <c r="M6" s="72"/>
      <c r="N6" s="72"/>
      <c r="O6" s="72"/>
      <c r="P6" s="72"/>
    </row>
    <row r="7" spans="1:17" x14ac:dyDescent="0.2">
      <c r="A7" s="55" t="s">
        <v>66</v>
      </c>
      <c r="B7" s="58">
        <v>2</v>
      </c>
      <c r="C7" s="59">
        <v>5.0000000000000001E-3</v>
      </c>
      <c r="D7" s="23">
        <f>B7*cenas!J7-pirkums!B7*cenas!J7*pirkums!C7</f>
        <v>119.4</v>
      </c>
    </row>
    <row r="8" spans="1:17" x14ac:dyDescent="0.2">
      <c r="A8" s="55" t="s">
        <v>67</v>
      </c>
      <c r="B8" s="58">
        <v>1</v>
      </c>
      <c r="C8" s="59">
        <v>0.01</v>
      </c>
      <c r="D8" s="23">
        <f>B8*cenas!J8-pirkums!B8*cenas!J8*pirkums!C8</f>
        <v>34.65</v>
      </c>
      <c r="K8" s="52">
        <v>23</v>
      </c>
      <c r="L8" s="72" t="s">
        <v>3905</v>
      </c>
      <c r="M8" s="72"/>
      <c r="N8" s="72"/>
      <c r="O8" s="72"/>
      <c r="P8" s="72"/>
      <c r="Q8" s="49" t="s">
        <v>3885</v>
      </c>
    </row>
    <row r="9" spans="1:17" x14ac:dyDescent="0.2">
      <c r="A9" s="55" t="s">
        <v>68</v>
      </c>
      <c r="B9" s="58">
        <v>1</v>
      </c>
      <c r="C9" s="59">
        <v>0.01</v>
      </c>
      <c r="D9" s="23">
        <f>B9*cenas!J9-pirkums!B9*cenas!J9*pirkums!C9</f>
        <v>52.47</v>
      </c>
      <c r="L9" s="72"/>
      <c r="M9" s="72"/>
      <c r="N9" s="72"/>
      <c r="O9" s="72"/>
      <c r="P9" s="72"/>
    </row>
    <row r="10" spans="1:17" x14ac:dyDescent="0.2">
      <c r="A10" s="55" t="s">
        <v>69</v>
      </c>
      <c r="B10" s="58">
        <v>1</v>
      </c>
      <c r="C10" s="59">
        <v>1.4999999999999999E-2</v>
      </c>
      <c r="D10" s="23">
        <f>B10*cenas!J10-pirkums!B10*cenas!J10*pirkums!C10</f>
        <v>15.76</v>
      </c>
    </row>
    <row r="11" spans="1:17" x14ac:dyDescent="0.2">
      <c r="A11" s="55" t="s">
        <v>70</v>
      </c>
      <c r="B11" s="58">
        <v>1</v>
      </c>
      <c r="C11" s="59">
        <v>0.03</v>
      </c>
      <c r="D11" s="23">
        <f>B11*cenas!J11-pirkums!B11*cenas!J11*pirkums!C11</f>
        <v>33.950000000000003</v>
      </c>
    </row>
    <row r="12" spans="1:17" x14ac:dyDescent="0.2">
      <c r="A12" s="55" t="s">
        <v>71</v>
      </c>
      <c r="B12" s="58">
        <v>1</v>
      </c>
      <c r="C12" s="59">
        <v>0.02</v>
      </c>
      <c r="D12" s="23">
        <f>B12*cenas!J12-pirkums!B12*cenas!J12*pirkums!C12</f>
        <v>49</v>
      </c>
    </row>
    <row r="13" spans="1:17" x14ac:dyDescent="0.2">
      <c r="A13" s="55" t="s">
        <v>72</v>
      </c>
      <c r="B13" s="58">
        <v>2</v>
      </c>
      <c r="C13" s="59">
        <v>2.5000000000000001E-2</v>
      </c>
      <c r="D13" s="23">
        <f>B13*cenas!J13-pirkums!B13*cenas!J13*pirkums!C13</f>
        <v>253.5</v>
      </c>
    </row>
    <row r="14" spans="1:17" x14ac:dyDescent="0.2">
      <c r="A14" s="55" t="s">
        <v>73</v>
      </c>
      <c r="B14" s="58">
        <v>1</v>
      </c>
      <c r="C14" s="59">
        <v>0.02</v>
      </c>
      <c r="D14" s="23">
        <f>B14*cenas!J14-pirkums!B14*cenas!J14*pirkums!C14</f>
        <v>313.60000000000002</v>
      </c>
    </row>
    <row r="15" spans="1:17" x14ac:dyDescent="0.2">
      <c r="A15" s="55" t="s">
        <v>74</v>
      </c>
      <c r="B15" s="58">
        <v>60</v>
      </c>
      <c r="C15" s="59">
        <v>0.03</v>
      </c>
      <c r="D15" s="23">
        <f>B15*cenas!J15-pirkums!B15*cenas!J15*pirkums!C15</f>
        <v>3492</v>
      </c>
    </row>
    <row r="16" spans="1:17" x14ac:dyDescent="0.2">
      <c r="A16" s="55" t="s">
        <v>75</v>
      </c>
      <c r="B16" s="58">
        <v>1</v>
      </c>
      <c r="C16" s="59">
        <v>2.5000000000000001E-2</v>
      </c>
      <c r="D16" s="23">
        <f>B16*cenas!J16-pirkums!B16*cenas!J16*pirkums!C16</f>
        <v>58.5</v>
      </c>
    </row>
    <row r="17" spans="1:4" x14ac:dyDescent="0.2">
      <c r="A17" s="55" t="s">
        <v>76</v>
      </c>
      <c r="B17" s="58">
        <v>1</v>
      </c>
      <c r="C17" s="59">
        <v>1.4999999999999999E-2</v>
      </c>
      <c r="D17" s="23">
        <f>B17*cenas!J17-pirkums!B17*cenas!J17*pirkums!C17</f>
        <v>23.64</v>
      </c>
    </row>
    <row r="18" spans="1:4" x14ac:dyDescent="0.2">
      <c r="A18" s="55" t="s">
        <v>77</v>
      </c>
      <c r="B18" s="58">
        <v>1</v>
      </c>
      <c r="C18" s="59">
        <v>4.4999999999999998E-2</v>
      </c>
      <c r="D18" s="23">
        <f>B18*cenas!J18-pirkums!B18*cenas!J18*pirkums!C18</f>
        <v>238.75</v>
      </c>
    </row>
    <row r="19" spans="1:4" x14ac:dyDescent="0.2">
      <c r="A19" s="55" t="s">
        <v>78</v>
      </c>
      <c r="B19" s="58">
        <v>1</v>
      </c>
      <c r="C19" s="59">
        <v>4.4999999999999998E-2</v>
      </c>
      <c r="D19" s="23">
        <f>B19*cenas!J19-pirkums!B19*cenas!J19*pirkums!C19</f>
        <v>13.37</v>
      </c>
    </row>
    <row r="20" spans="1:4" x14ac:dyDescent="0.2">
      <c r="A20" s="55" t="s">
        <v>79</v>
      </c>
      <c r="B20" s="58">
        <v>1</v>
      </c>
      <c r="C20" s="59">
        <v>2.5000000000000001E-2</v>
      </c>
      <c r="D20" s="23">
        <f>B20*cenas!J20-pirkums!B20*cenas!J20*pirkums!C20</f>
        <v>39</v>
      </c>
    </row>
    <row r="21" spans="1:4" x14ac:dyDescent="0.2">
      <c r="A21" s="55" t="s">
        <v>80</v>
      </c>
      <c r="B21" s="58"/>
      <c r="C21" s="59">
        <v>1.4999999999999999E-2</v>
      </c>
      <c r="D21" s="23">
        <f>B21*cenas!J21-pirkums!B21*cenas!J21*pirkums!C21</f>
        <v>0</v>
      </c>
    </row>
    <row r="22" spans="1:4" x14ac:dyDescent="0.2">
      <c r="A22" s="55" t="s">
        <v>81</v>
      </c>
      <c r="B22" s="58"/>
      <c r="C22" s="59">
        <v>0.05</v>
      </c>
      <c r="D22" s="23">
        <f>B22*cenas!J22-pirkums!B22*cenas!J22*pirkums!C22</f>
        <v>0</v>
      </c>
    </row>
    <row r="23" spans="1:4" x14ac:dyDescent="0.2">
      <c r="A23" s="55" t="s">
        <v>82</v>
      </c>
      <c r="B23" s="58">
        <v>2</v>
      </c>
      <c r="C23" s="59">
        <v>0.04</v>
      </c>
      <c r="D23" s="23">
        <f>B23*cenas!J23-pirkums!B23*cenas!J23*pirkums!C23</f>
        <v>76.8</v>
      </c>
    </row>
    <row r="24" spans="1:4" x14ac:dyDescent="0.2">
      <c r="A24" s="55" t="s">
        <v>83</v>
      </c>
      <c r="B24" s="58">
        <v>2</v>
      </c>
      <c r="C24" s="59">
        <v>0.01</v>
      </c>
      <c r="D24" s="23">
        <f>B24*cenas!J24-pirkums!B24*cenas!J24*pirkums!C24</f>
        <v>158.4</v>
      </c>
    </row>
    <row r="25" spans="1:4" x14ac:dyDescent="0.2">
      <c r="A25" s="55" t="s">
        <v>84</v>
      </c>
      <c r="B25" s="58">
        <v>2</v>
      </c>
      <c r="C25" s="59">
        <v>3.5000000000000003E-2</v>
      </c>
      <c r="D25" s="23">
        <f>B25*cenas!J25-pirkums!B25*cenas!J25*pirkums!C25</f>
        <v>23.16</v>
      </c>
    </row>
    <row r="26" spans="1:4" x14ac:dyDescent="0.2">
      <c r="A26" s="55" t="s">
        <v>85</v>
      </c>
      <c r="B26" s="58">
        <v>2</v>
      </c>
      <c r="C26" s="59">
        <v>0.01</v>
      </c>
      <c r="D26" s="23">
        <f>B26*cenas!J26-pirkums!B26*cenas!J26*pirkums!C26</f>
        <v>23.76</v>
      </c>
    </row>
    <row r="27" spans="1:4" x14ac:dyDescent="0.2">
      <c r="A27" s="55" t="s">
        <v>86</v>
      </c>
      <c r="B27" s="58"/>
      <c r="C27" s="59">
        <v>0</v>
      </c>
      <c r="D27" s="23">
        <f>B27*cenas!J27-pirkums!B27*cenas!J27*pirkums!C27</f>
        <v>0</v>
      </c>
    </row>
    <row r="28" spans="1:4" x14ac:dyDescent="0.2">
      <c r="A28" s="55" t="s">
        <v>87</v>
      </c>
      <c r="B28" s="58">
        <v>4</v>
      </c>
      <c r="C28" s="59">
        <v>0.02</v>
      </c>
      <c r="D28" s="23">
        <f>B28*cenas!J28-pirkums!B28*cenas!J28*pirkums!C28</f>
        <v>3.92</v>
      </c>
    </row>
    <row r="29" spans="1:4" x14ac:dyDescent="0.2">
      <c r="A29" s="60"/>
      <c r="B29" s="70" t="s">
        <v>101</v>
      </c>
      <c r="C29" s="71"/>
      <c r="D29" s="23">
        <f>SUM(D2:D28)</f>
        <v>5659.5800000000008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Q23" sqref="Q23"/>
    </sheetView>
  </sheetViews>
  <sheetFormatPr defaultColWidth="9.140625" defaultRowHeight="12.75" x14ac:dyDescent="0.2"/>
  <cols>
    <col min="1" max="1" width="26.140625" style="19" customWidth="1"/>
    <col min="2" max="2" width="9.28515625" style="21" customWidth="1"/>
    <col min="3" max="3" width="9.28515625" style="26" customWidth="1"/>
    <col min="4" max="8" width="9.28515625" style="21" customWidth="1"/>
    <col min="10" max="11" width="9.28515625" style="21" customWidth="1"/>
    <col min="12" max="16384" width="9.140625" style="19"/>
  </cols>
  <sheetData>
    <row r="1" spans="1:11" x14ac:dyDescent="0.2">
      <c r="B1" s="28" t="s">
        <v>95</v>
      </c>
      <c r="C1" s="28" t="s">
        <v>90</v>
      </c>
      <c r="D1" s="28" t="s">
        <v>91</v>
      </c>
      <c r="E1" s="28" t="s">
        <v>94</v>
      </c>
      <c r="F1" s="28" t="s">
        <v>92</v>
      </c>
      <c r="G1" s="28" t="s">
        <v>96</v>
      </c>
      <c r="H1" s="28" t="s">
        <v>93</v>
      </c>
      <c r="I1" s="27" t="s">
        <v>89</v>
      </c>
      <c r="J1" s="27" t="s">
        <v>88</v>
      </c>
      <c r="K1" s="28" t="s">
        <v>97</v>
      </c>
    </row>
    <row r="2" spans="1:11" x14ac:dyDescent="0.2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25">
        <v>40</v>
      </c>
      <c r="J2" s="24">
        <v>25</v>
      </c>
      <c r="K2" s="22">
        <v>42.5</v>
      </c>
    </row>
    <row r="3" spans="1:11" x14ac:dyDescent="0.2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25">
        <v>79</v>
      </c>
      <c r="J3" s="24">
        <v>50</v>
      </c>
      <c r="K3" s="22">
        <v>80.2</v>
      </c>
    </row>
    <row r="4" spans="1:11" x14ac:dyDescent="0.2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25">
        <v>245</v>
      </c>
      <c r="J4" s="24">
        <v>135</v>
      </c>
      <c r="K4" s="22">
        <v>207.4</v>
      </c>
    </row>
    <row r="5" spans="1:11" x14ac:dyDescent="0.2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25">
        <v>90</v>
      </c>
      <c r="J5" s="24">
        <v>70</v>
      </c>
      <c r="K5" s="22">
        <v>100.6</v>
      </c>
    </row>
    <row r="6" spans="1:11" x14ac:dyDescent="0.2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25">
        <v>159</v>
      </c>
      <c r="J6" s="24">
        <v>70</v>
      </c>
      <c r="K6" s="22">
        <v>98.4</v>
      </c>
    </row>
    <row r="7" spans="1:11" x14ac:dyDescent="0.2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25">
        <v>70</v>
      </c>
      <c r="J7" s="24">
        <v>60</v>
      </c>
      <c r="K7" s="22">
        <v>73</v>
      </c>
    </row>
    <row r="8" spans="1:11" x14ac:dyDescent="0.2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25">
        <v>40</v>
      </c>
      <c r="J8" s="24">
        <v>35</v>
      </c>
      <c r="K8" s="22">
        <v>38.700000000000003</v>
      </c>
    </row>
    <row r="9" spans="1:11" x14ac:dyDescent="0.2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25">
        <v>80</v>
      </c>
      <c r="J9" s="24">
        <v>53</v>
      </c>
      <c r="K9" s="22">
        <v>69.900000000000006</v>
      </c>
    </row>
    <row r="10" spans="1:11" x14ac:dyDescent="0.2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25">
        <v>20</v>
      </c>
      <c r="J10" s="24">
        <v>16</v>
      </c>
      <c r="K10" s="22">
        <v>34.1</v>
      </c>
    </row>
    <row r="11" spans="1:11" x14ac:dyDescent="0.2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25">
        <v>55</v>
      </c>
      <c r="J11" s="24">
        <v>35</v>
      </c>
      <c r="K11" s="22">
        <v>54.1</v>
      </c>
    </row>
    <row r="12" spans="1:11" x14ac:dyDescent="0.2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25">
        <v>100</v>
      </c>
      <c r="J12" s="24">
        <v>50</v>
      </c>
      <c r="K12" s="22">
        <v>92.2</v>
      </c>
    </row>
    <row r="13" spans="1:11" x14ac:dyDescent="0.2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25">
        <v>50</v>
      </c>
      <c r="J13" s="24">
        <v>130</v>
      </c>
      <c r="K13" s="22">
        <v>89.7</v>
      </c>
    </row>
    <row r="14" spans="1:11" x14ac:dyDescent="0.2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25">
        <v>129</v>
      </c>
      <c r="J14" s="24">
        <v>320</v>
      </c>
      <c r="K14" s="22">
        <v>174.4</v>
      </c>
    </row>
    <row r="15" spans="1:11" x14ac:dyDescent="0.2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25">
        <v>20</v>
      </c>
      <c r="J15" s="24">
        <v>60</v>
      </c>
      <c r="K15" s="22">
        <v>33.700000000000003</v>
      </c>
    </row>
    <row r="16" spans="1:11" x14ac:dyDescent="0.2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25">
        <v>15</v>
      </c>
      <c r="J16" s="24">
        <v>60</v>
      </c>
      <c r="K16" s="22">
        <v>25</v>
      </c>
    </row>
    <row r="17" spans="1:11" x14ac:dyDescent="0.2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25">
        <v>20</v>
      </c>
      <c r="J17" s="24">
        <v>24</v>
      </c>
      <c r="K17" s="22">
        <v>28.1</v>
      </c>
    </row>
    <row r="18" spans="1:11" x14ac:dyDescent="0.2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25">
        <v>200</v>
      </c>
      <c r="J18" s="24">
        <v>250</v>
      </c>
      <c r="K18" s="22">
        <v>213.8</v>
      </c>
    </row>
    <row r="19" spans="1:11" x14ac:dyDescent="0.2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25">
        <v>14</v>
      </c>
      <c r="J19" s="24">
        <v>14</v>
      </c>
      <c r="K19" s="22">
        <v>18.3</v>
      </c>
    </row>
    <row r="20" spans="1:11" x14ac:dyDescent="0.2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25">
        <v>19</v>
      </c>
      <c r="J20" s="24">
        <v>40</v>
      </c>
      <c r="K20" s="22">
        <v>27.5</v>
      </c>
    </row>
    <row r="21" spans="1:11" x14ac:dyDescent="0.2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25">
        <v>24</v>
      </c>
      <c r="J21" s="24">
        <v>55</v>
      </c>
      <c r="K21" s="22">
        <v>54.8</v>
      </c>
    </row>
    <row r="22" spans="1:11" x14ac:dyDescent="0.2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25">
        <v>35</v>
      </c>
      <c r="J22" s="24">
        <v>55</v>
      </c>
      <c r="K22" s="22">
        <v>50.6</v>
      </c>
    </row>
    <row r="23" spans="1:11" x14ac:dyDescent="0.2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25">
        <v>38</v>
      </c>
      <c r="J23" s="24">
        <v>40</v>
      </c>
      <c r="K23" s="22">
        <v>39.6</v>
      </c>
    </row>
    <row r="24" spans="1:11" x14ac:dyDescent="0.2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25">
        <v>51</v>
      </c>
      <c r="J24" s="24">
        <v>80</v>
      </c>
      <c r="K24" s="22">
        <v>53.5</v>
      </c>
    </row>
    <row r="25" spans="1:11" x14ac:dyDescent="0.2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25">
        <v>12</v>
      </c>
      <c r="J25" s="24">
        <v>12</v>
      </c>
      <c r="K25" s="22">
        <v>22</v>
      </c>
    </row>
    <row r="26" spans="1:11" x14ac:dyDescent="0.2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25">
        <v>12</v>
      </c>
      <c r="J26" s="24">
        <v>12</v>
      </c>
      <c r="K26" s="22">
        <v>14.4</v>
      </c>
    </row>
    <row r="27" spans="1:11" x14ac:dyDescent="0.2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25">
        <v>55</v>
      </c>
      <c r="J27" s="24">
        <v>50</v>
      </c>
      <c r="K27" s="22">
        <v>55.6</v>
      </c>
    </row>
    <row r="28" spans="1:11" x14ac:dyDescent="0.2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25">
        <v>1</v>
      </c>
      <c r="J28" s="24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86C1-196E-4BDA-BEE3-3C14F3BDE952}">
  <dimension ref="A1:B4"/>
  <sheetViews>
    <sheetView workbookViewId="0">
      <selection activeCell="C9" sqref="C9"/>
    </sheetView>
  </sheetViews>
  <sheetFormatPr defaultRowHeight="12.75" x14ac:dyDescent="0.2"/>
  <cols>
    <col min="1" max="1" width="14.42578125" bestFit="1" customWidth="1"/>
    <col min="2" max="2" width="8" bestFit="1" customWidth="1"/>
  </cols>
  <sheetData>
    <row r="1" spans="1:2" x14ac:dyDescent="0.2">
      <c r="A1" s="80" t="s">
        <v>107</v>
      </c>
      <c r="B1" t="s">
        <v>380</v>
      </c>
    </row>
    <row r="3" spans="1:2" x14ac:dyDescent="0.2">
      <c r="A3" t="s">
        <v>3916</v>
      </c>
    </row>
    <row r="4" spans="1:2" x14ac:dyDescent="0.2">
      <c r="A4" s="81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749F-B0BC-4087-8E4F-8036D27741B2}">
  <dimension ref="A3:B13"/>
  <sheetViews>
    <sheetView workbookViewId="0">
      <selection activeCell="C19" sqref="C19"/>
    </sheetView>
  </sheetViews>
  <sheetFormatPr defaultRowHeight="12.75" x14ac:dyDescent="0.2"/>
  <cols>
    <col min="1" max="1" width="13.85546875" bestFit="1" customWidth="1"/>
    <col min="2" max="2" width="18" bestFit="1" customWidth="1"/>
  </cols>
  <sheetData>
    <row r="3" spans="1:2" x14ac:dyDescent="0.2">
      <c r="A3" s="80" t="s">
        <v>3917</v>
      </c>
      <c r="B3" t="s">
        <v>3919</v>
      </c>
    </row>
    <row r="4" spans="1:2" x14ac:dyDescent="0.2">
      <c r="A4" s="82" t="s">
        <v>455</v>
      </c>
      <c r="B4" s="81">
        <v>25.330555555555563</v>
      </c>
    </row>
    <row r="5" spans="1:2" x14ac:dyDescent="0.2">
      <c r="A5" s="82" t="s">
        <v>172</v>
      </c>
      <c r="B5" s="81">
        <v>27.454545454545457</v>
      </c>
    </row>
    <row r="6" spans="1:2" x14ac:dyDescent="0.2">
      <c r="A6" s="82" t="s">
        <v>560</v>
      </c>
      <c r="B6" s="81">
        <v>29.684000000000001</v>
      </c>
    </row>
    <row r="7" spans="1:2" x14ac:dyDescent="0.2">
      <c r="A7" s="82" t="s">
        <v>118</v>
      </c>
      <c r="B7" s="81">
        <v>27.643414634146335</v>
      </c>
    </row>
    <row r="8" spans="1:2" x14ac:dyDescent="0.2">
      <c r="A8" s="82" t="s">
        <v>176</v>
      </c>
      <c r="B8" s="81">
        <v>27.457608695652173</v>
      </c>
    </row>
    <row r="9" spans="1:2" x14ac:dyDescent="0.2">
      <c r="A9" s="82" t="s">
        <v>219</v>
      </c>
      <c r="B9" s="81">
        <v>25.65</v>
      </c>
    </row>
    <row r="10" spans="1:2" x14ac:dyDescent="0.2">
      <c r="A10" s="82" t="s">
        <v>512</v>
      </c>
      <c r="B10" s="81">
        <v>23.7</v>
      </c>
    </row>
    <row r="11" spans="1:2" x14ac:dyDescent="0.2">
      <c r="A11" s="82" t="s">
        <v>631</v>
      </c>
      <c r="B11" s="81">
        <v>20.872727272727278</v>
      </c>
    </row>
    <row r="12" spans="1:2" x14ac:dyDescent="0.2">
      <c r="A12" s="82" t="s">
        <v>112</v>
      </c>
      <c r="B12" s="81">
        <v>20.684615384615388</v>
      </c>
    </row>
    <row r="13" spans="1:2" x14ac:dyDescent="0.2">
      <c r="A13" s="82" t="s">
        <v>3918</v>
      </c>
      <c r="B13" s="81">
        <v>26.624788135593196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workbookViewId="0">
      <selection activeCell="Q34" sqref="Q34"/>
    </sheetView>
  </sheetViews>
  <sheetFormatPr defaultRowHeight="12.75" x14ac:dyDescent="0.2"/>
  <cols>
    <col min="1" max="2" width="9.140625" style="17" customWidth="1"/>
    <col min="3" max="3" width="13.85546875" style="16" customWidth="1"/>
    <col min="4" max="4" width="8.85546875" style="16"/>
    <col min="5" max="5" width="25.42578125" style="16" customWidth="1"/>
    <col min="6" max="7" width="9.140625" style="17" customWidth="1"/>
    <col min="8" max="9" width="8.85546875" style="16"/>
    <col min="10" max="10" width="13.85546875" style="16" bestFit="1" customWidth="1"/>
    <col min="11" max="11" width="18" style="16" bestFit="1" customWidth="1"/>
    <col min="12" max="256" width="8.85546875" style="16"/>
    <col min="257" max="258" width="9.140625" style="16" customWidth="1"/>
    <col min="259" max="259" width="13.85546875" style="16" customWidth="1"/>
    <col min="260" max="260" width="8.85546875" style="16"/>
    <col min="261" max="261" width="25.42578125" style="16" customWidth="1"/>
    <col min="262" max="263" width="9.140625" style="16" customWidth="1"/>
    <col min="264" max="512" width="8.85546875" style="16"/>
    <col min="513" max="514" width="9.140625" style="16" customWidth="1"/>
    <col min="515" max="515" width="13.85546875" style="16" customWidth="1"/>
    <col min="516" max="516" width="8.85546875" style="16"/>
    <col min="517" max="517" width="25.42578125" style="16" customWidth="1"/>
    <col min="518" max="519" width="9.140625" style="16" customWidth="1"/>
    <col min="520" max="768" width="8.85546875" style="16"/>
    <col min="769" max="770" width="9.140625" style="16" customWidth="1"/>
    <col min="771" max="771" width="13.85546875" style="16" customWidth="1"/>
    <col min="772" max="772" width="8.85546875" style="16"/>
    <col min="773" max="773" width="25.42578125" style="16" customWidth="1"/>
    <col min="774" max="775" width="9.140625" style="16" customWidth="1"/>
    <col min="776" max="1024" width="8.85546875" style="16"/>
    <col min="1025" max="1026" width="9.140625" style="16" customWidth="1"/>
    <col min="1027" max="1027" width="13.85546875" style="16" customWidth="1"/>
    <col min="1028" max="1028" width="8.85546875" style="16"/>
    <col min="1029" max="1029" width="25.42578125" style="16" customWidth="1"/>
    <col min="1030" max="1031" width="9.140625" style="16" customWidth="1"/>
    <col min="1032" max="1280" width="8.85546875" style="16"/>
    <col min="1281" max="1282" width="9.140625" style="16" customWidth="1"/>
    <col min="1283" max="1283" width="13.85546875" style="16" customWidth="1"/>
    <col min="1284" max="1284" width="8.85546875" style="16"/>
    <col min="1285" max="1285" width="25.42578125" style="16" customWidth="1"/>
    <col min="1286" max="1287" width="9.140625" style="16" customWidth="1"/>
    <col min="1288" max="1536" width="8.85546875" style="16"/>
    <col min="1537" max="1538" width="9.140625" style="16" customWidth="1"/>
    <col min="1539" max="1539" width="13.85546875" style="16" customWidth="1"/>
    <col min="1540" max="1540" width="8.85546875" style="16"/>
    <col min="1541" max="1541" width="25.42578125" style="16" customWidth="1"/>
    <col min="1542" max="1543" width="9.140625" style="16" customWidth="1"/>
    <col min="1544" max="1792" width="8.85546875" style="16"/>
    <col min="1793" max="1794" width="9.140625" style="16" customWidth="1"/>
    <col min="1795" max="1795" width="13.85546875" style="16" customWidth="1"/>
    <col min="1796" max="1796" width="8.85546875" style="16"/>
    <col min="1797" max="1797" width="25.42578125" style="16" customWidth="1"/>
    <col min="1798" max="1799" width="9.140625" style="16" customWidth="1"/>
    <col min="1800" max="2048" width="8.85546875" style="16"/>
    <col min="2049" max="2050" width="9.140625" style="16" customWidth="1"/>
    <col min="2051" max="2051" width="13.85546875" style="16" customWidth="1"/>
    <col min="2052" max="2052" width="8.85546875" style="16"/>
    <col min="2053" max="2053" width="25.42578125" style="16" customWidth="1"/>
    <col min="2054" max="2055" width="9.140625" style="16" customWidth="1"/>
    <col min="2056" max="2304" width="8.85546875" style="16"/>
    <col min="2305" max="2306" width="9.140625" style="16" customWidth="1"/>
    <col min="2307" max="2307" width="13.85546875" style="16" customWidth="1"/>
    <col min="2308" max="2308" width="8.85546875" style="16"/>
    <col min="2309" max="2309" width="25.42578125" style="16" customWidth="1"/>
    <col min="2310" max="2311" width="9.140625" style="16" customWidth="1"/>
    <col min="2312" max="2560" width="8.85546875" style="16"/>
    <col min="2561" max="2562" width="9.140625" style="16" customWidth="1"/>
    <col min="2563" max="2563" width="13.85546875" style="16" customWidth="1"/>
    <col min="2564" max="2564" width="8.85546875" style="16"/>
    <col min="2565" max="2565" width="25.42578125" style="16" customWidth="1"/>
    <col min="2566" max="2567" width="9.140625" style="16" customWidth="1"/>
    <col min="2568" max="2816" width="8.85546875" style="16"/>
    <col min="2817" max="2818" width="9.140625" style="16" customWidth="1"/>
    <col min="2819" max="2819" width="13.85546875" style="16" customWidth="1"/>
    <col min="2820" max="2820" width="8.85546875" style="16"/>
    <col min="2821" max="2821" width="25.42578125" style="16" customWidth="1"/>
    <col min="2822" max="2823" width="9.140625" style="16" customWidth="1"/>
    <col min="2824" max="3072" width="8.85546875" style="16"/>
    <col min="3073" max="3074" width="9.140625" style="16" customWidth="1"/>
    <col min="3075" max="3075" width="13.85546875" style="16" customWidth="1"/>
    <col min="3076" max="3076" width="8.85546875" style="16"/>
    <col min="3077" max="3077" width="25.42578125" style="16" customWidth="1"/>
    <col min="3078" max="3079" width="9.140625" style="16" customWidth="1"/>
    <col min="3080" max="3328" width="8.85546875" style="16"/>
    <col min="3329" max="3330" width="9.140625" style="16" customWidth="1"/>
    <col min="3331" max="3331" width="13.85546875" style="16" customWidth="1"/>
    <col min="3332" max="3332" width="8.85546875" style="16"/>
    <col min="3333" max="3333" width="25.42578125" style="16" customWidth="1"/>
    <col min="3334" max="3335" width="9.140625" style="16" customWidth="1"/>
    <col min="3336" max="3584" width="8.85546875" style="16"/>
    <col min="3585" max="3586" width="9.140625" style="16" customWidth="1"/>
    <col min="3587" max="3587" width="13.85546875" style="16" customWidth="1"/>
    <col min="3588" max="3588" width="8.85546875" style="16"/>
    <col min="3589" max="3589" width="25.42578125" style="16" customWidth="1"/>
    <col min="3590" max="3591" width="9.140625" style="16" customWidth="1"/>
    <col min="3592" max="3840" width="8.85546875" style="16"/>
    <col min="3841" max="3842" width="9.140625" style="16" customWidth="1"/>
    <col min="3843" max="3843" width="13.85546875" style="16" customWidth="1"/>
    <col min="3844" max="3844" width="8.85546875" style="16"/>
    <col min="3845" max="3845" width="25.42578125" style="16" customWidth="1"/>
    <col min="3846" max="3847" width="9.140625" style="16" customWidth="1"/>
    <col min="3848" max="4096" width="8.85546875" style="16"/>
    <col min="4097" max="4098" width="9.140625" style="16" customWidth="1"/>
    <col min="4099" max="4099" width="13.85546875" style="16" customWidth="1"/>
    <col min="4100" max="4100" width="8.85546875" style="16"/>
    <col min="4101" max="4101" width="25.42578125" style="16" customWidth="1"/>
    <col min="4102" max="4103" width="9.140625" style="16" customWidth="1"/>
    <col min="4104" max="4352" width="8.85546875" style="16"/>
    <col min="4353" max="4354" width="9.140625" style="16" customWidth="1"/>
    <col min="4355" max="4355" width="13.85546875" style="16" customWidth="1"/>
    <col min="4356" max="4356" width="8.85546875" style="16"/>
    <col min="4357" max="4357" width="25.42578125" style="16" customWidth="1"/>
    <col min="4358" max="4359" width="9.140625" style="16" customWidth="1"/>
    <col min="4360" max="4608" width="8.85546875" style="16"/>
    <col min="4609" max="4610" width="9.140625" style="16" customWidth="1"/>
    <col min="4611" max="4611" width="13.85546875" style="16" customWidth="1"/>
    <col min="4612" max="4612" width="8.85546875" style="16"/>
    <col min="4613" max="4613" width="25.42578125" style="16" customWidth="1"/>
    <col min="4614" max="4615" width="9.140625" style="16" customWidth="1"/>
    <col min="4616" max="4864" width="8.85546875" style="16"/>
    <col min="4865" max="4866" width="9.140625" style="16" customWidth="1"/>
    <col min="4867" max="4867" width="13.85546875" style="16" customWidth="1"/>
    <col min="4868" max="4868" width="8.85546875" style="16"/>
    <col min="4869" max="4869" width="25.42578125" style="16" customWidth="1"/>
    <col min="4870" max="4871" width="9.140625" style="16" customWidth="1"/>
    <col min="4872" max="5120" width="8.85546875" style="16"/>
    <col min="5121" max="5122" width="9.140625" style="16" customWidth="1"/>
    <col min="5123" max="5123" width="13.85546875" style="16" customWidth="1"/>
    <col min="5124" max="5124" width="8.85546875" style="16"/>
    <col min="5125" max="5125" width="25.42578125" style="16" customWidth="1"/>
    <col min="5126" max="5127" width="9.140625" style="16" customWidth="1"/>
    <col min="5128" max="5376" width="8.85546875" style="16"/>
    <col min="5377" max="5378" width="9.140625" style="16" customWidth="1"/>
    <col min="5379" max="5379" width="13.85546875" style="16" customWidth="1"/>
    <col min="5380" max="5380" width="8.85546875" style="16"/>
    <col min="5381" max="5381" width="25.42578125" style="16" customWidth="1"/>
    <col min="5382" max="5383" width="9.140625" style="16" customWidth="1"/>
    <col min="5384" max="5632" width="8.85546875" style="16"/>
    <col min="5633" max="5634" width="9.140625" style="16" customWidth="1"/>
    <col min="5635" max="5635" width="13.85546875" style="16" customWidth="1"/>
    <col min="5636" max="5636" width="8.85546875" style="16"/>
    <col min="5637" max="5637" width="25.42578125" style="16" customWidth="1"/>
    <col min="5638" max="5639" width="9.140625" style="16" customWidth="1"/>
    <col min="5640" max="5888" width="8.85546875" style="16"/>
    <col min="5889" max="5890" width="9.140625" style="16" customWidth="1"/>
    <col min="5891" max="5891" width="13.85546875" style="16" customWidth="1"/>
    <col min="5892" max="5892" width="8.85546875" style="16"/>
    <col min="5893" max="5893" width="25.42578125" style="16" customWidth="1"/>
    <col min="5894" max="5895" width="9.140625" style="16" customWidth="1"/>
    <col min="5896" max="6144" width="8.85546875" style="16"/>
    <col min="6145" max="6146" width="9.140625" style="16" customWidth="1"/>
    <col min="6147" max="6147" width="13.85546875" style="16" customWidth="1"/>
    <col min="6148" max="6148" width="8.85546875" style="16"/>
    <col min="6149" max="6149" width="25.42578125" style="16" customWidth="1"/>
    <col min="6150" max="6151" width="9.140625" style="16" customWidth="1"/>
    <col min="6152" max="6400" width="8.85546875" style="16"/>
    <col min="6401" max="6402" width="9.140625" style="16" customWidth="1"/>
    <col min="6403" max="6403" width="13.85546875" style="16" customWidth="1"/>
    <col min="6404" max="6404" width="8.85546875" style="16"/>
    <col min="6405" max="6405" width="25.42578125" style="16" customWidth="1"/>
    <col min="6406" max="6407" width="9.140625" style="16" customWidth="1"/>
    <col min="6408" max="6656" width="8.85546875" style="16"/>
    <col min="6657" max="6658" width="9.140625" style="16" customWidth="1"/>
    <col min="6659" max="6659" width="13.85546875" style="16" customWidth="1"/>
    <col min="6660" max="6660" width="8.85546875" style="16"/>
    <col min="6661" max="6661" width="25.42578125" style="16" customWidth="1"/>
    <col min="6662" max="6663" width="9.140625" style="16" customWidth="1"/>
    <col min="6664" max="6912" width="8.85546875" style="16"/>
    <col min="6913" max="6914" width="9.140625" style="16" customWidth="1"/>
    <col min="6915" max="6915" width="13.85546875" style="16" customWidth="1"/>
    <col min="6916" max="6916" width="8.85546875" style="16"/>
    <col min="6917" max="6917" width="25.42578125" style="16" customWidth="1"/>
    <col min="6918" max="6919" width="9.140625" style="16" customWidth="1"/>
    <col min="6920" max="7168" width="8.85546875" style="16"/>
    <col min="7169" max="7170" width="9.140625" style="16" customWidth="1"/>
    <col min="7171" max="7171" width="13.85546875" style="16" customWidth="1"/>
    <col min="7172" max="7172" width="8.85546875" style="16"/>
    <col min="7173" max="7173" width="25.42578125" style="16" customWidth="1"/>
    <col min="7174" max="7175" width="9.140625" style="16" customWidth="1"/>
    <col min="7176" max="7424" width="8.85546875" style="16"/>
    <col min="7425" max="7426" width="9.140625" style="16" customWidth="1"/>
    <col min="7427" max="7427" width="13.85546875" style="16" customWidth="1"/>
    <col min="7428" max="7428" width="8.85546875" style="16"/>
    <col min="7429" max="7429" width="25.42578125" style="16" customWidth="1"/>
    <col min="7430" max="7431" width="9.140625" style="16" customWidth="1"/>
    <col min="7432" max="7680" width="8.85546875" style="16"/>
    <col min="7681" max="7682" width="9.140625" style="16" customWidth="1"/>
    <col min="7683" max="7683" width="13.85546875" style="16" customWidth="1"/>
    <col min="7684" max="7684" width="8.85546875" style="16"/>
    <col min="7685" max="7685" width="25.42578125" style="16" customWidth="1"/>
    <col min="7686" max="7687" width="9.140625" style="16" customWidth="1"/>
    <col min="7688" max="7936" width="8.85546875" style="16"/>
    <col min="7937" max="7938" width="9.140625" style="16" customWidth="1"/>
    <col min="7939" max="7939" width="13.85546875" style="16" customWidth="1"/>
    <col min="7940" max="7940" width="8.85546875" style="16"/>
    <col min="7941" max="7941" width="25.42578125" style="16" customWidth="1"/>
    <col min="7942" max="7943" width="9.140625" style="16" customWidth="1"/>
    <col min="7944" max="8192" width="8.85546875" style="16"/>
    <col min="8193" max="8194" width="9.140625" style="16" customWidth="1"/>
    <col min="8195" max="8195" width="13.85546875" style="16" customWidth="1"/>
    <col min="8196" max="8196" width="8.85546875" style="16"/>
    <col min="8197" max="8197" width="25.42578125" style="16" customWidth="1"/>
    <col min="8198" max="8199" width="9.140625" style="16" customWidth="1"/>
    <col min="8200" max="8448" width="8.85546875" style="16"/>
    <col min="8449" max="8450" width="9.140625" style="16" customWidth="1"/>
    <col min="8451" max="8451" width="13.85546875" style="16" customWidth="1"/>
    <col min="8452" max="8452" width="8.85546875" style="16"/>
    <col min="8453" max="8453" width="25.42578125" style="16" customWidth="1"/>
    <col min="8454" max="8455" width="9.140625" style="16" customWidth="1"/>
    <col min="8456" max="8704" width="8.85546875" style="16"/>
    <col min="8705" max="8706" width="9.140625" style="16" customWidth="1"/>
    <col min="8707" max="8707" width="13.85546875" style="16" customWidth="1"/>
    <col min="8708" max="8708" width="8.85546875" style="16"/>
    <col min="8709" max="8709" width="25.42578125" style="16" customWidth="1"/>
    <col min="8710" max="8711" width="9.140625" style="16" customWidth="1"/>
    <col min="8712" max="8960" width="8.85546875" style="16"/>
    <col min="8961" max="8962" width="9.140625" style="16" customWidth="1"/>
    <col min="8963" max="8963" width="13.85546875" style="16" customWidth="1"/>
    <col min="8964" max="8964" width="8.85546875" style="16"/>
    <col min="8965" max="8965" width="25.42578125" style="16" customWidth="1"/>
    <col min="8966" max="8967" width="9.140625" style="16" customWidth="1"/>
    <col min="8968" max="9216" width="8.85546875" style="16"/>
    <col min="9217" max="9218" width="9.140625" style="16" customWidth="1"/>
    <col min="9219" max="9219" width="13.85546875" style="16" customWidth="1"/>
    <col min="9220" max="9220" width="8.85546875" style="16"/>
    <col min="9221" max="9221" width="25.42578125" style="16" customWidth="1"/>
    <col min="9222" max="9223" width="9.140625" style="16" customWidth="1"/>
    <col min="9224" max="9472" width="8.85546875" style="16"/>
    <col min="9473" max="9474" width="9.140625" style="16" customWidth="1"/>
    <col min="9475" max="9475" width="13.85546875" style="16" customWidth="1"/>
    <col min="9476" max="9476" width="8.85546875" style="16"/>
    <col min="9477" max="9477" width="25.42578125" style="16" customWidth="1"/>
    <col min="9478" max="9479" width="9.140625" style="16" customWidth="1"/>
    <col min="9480" max="9728" width="8.85546875" style="16"/>
    <col min="9729" max="9730" width="9.140625" style="16" customWidth="1"/>
    <col min="9731" max="9731" width="13.85546875" style="16" customWidth="1"/>
    <col min="9732" max="9732" width="8.85546875" style="16"/>
    <col min="9733" max="9733" width="25.42578125" style="16" customWidth="1"/>
    <col min="9734" max="9735" width="9.140625" style="16" customWidth="1"/>
    <col min="9736" max="9984" width="8.85546875" style="16"/>
    <col min="9985" max="9986" width="9.140625" style="16" customWidth="1"/>
    <col min="9987" max="9987" width="13.85546875" style="16" customWidth="1"/>
    <col min="9988" max="9988" width="8.85546875" style="16"/>
    <col min="9989" max="9989" width="25.42578125" style="16" customWidth="1"/>
    <col min="9990" max="9991" width="9.140625" style="16" customWidth="1"/>
    <col min="9992" max="10240" width="8.85546875" style="16"/>
    <col min="10241" max="10242" width="9.140625" style="16" customWidth="1"/>
    <col min="10243" max="10243" width="13.85546875" style="16" customWidth="1"/>
    <col min="10244" max="10244" width="8.85546875" style="16"/>
    <col min="10245" max="10245" width="25.42578125" style="16" customWidth="1"/>
    <col min="10246" max="10247" width="9.140625" style="16" customWidth="1"/>
    <col min="10248" max="10496" width="8.85546875" style="16"/>
    <col min="10497" max="10498" width="9.140625" style="16" customWidth="1"/>
    <col min="10499" max="10499" width="13.85546875" style="16" customWidth="1"/>
    <col min="10500" max="10500" width="8.85546875" style="16"/>
    <col min="10501" max="10501" width="25.42578125" style="16" customWidth="1"/>
    <col min="10502" max="10503" width="9.140625" style="16" customWidth="1"/>
    <col min="10504" max="10752" width="8.85546875" style="16"/>
    <col min="10753" max="10754" width="9.140625" style="16" customWidth="1"/>
    <col min="10755" max="10755" width="13.85546875" style="16" customWidth="1"/>
    <col min="10756" max="10756" width="8.85546875" style="16"/>
    <col min="10757" max="10757" width="25.42578125" style="16" customWidth="1"/>
    <col min="10758" max="10759" width="9.140625" style="16" customWidth="1"/>
    <col min="10760" max="11008" width="8.85546875" style="16"/>
    <col min="11009" max="11010" width="9.140625" style="16" customWidth="1"/>
    <col min="11011" max="11011" width="13.85546875" style="16" customWidth="1"/>
    <col min="11012" max="11012" width="8.85546875" style="16"/>
    <col min="11013" max="11013" width="25.42578125" style="16" customWidth="1"/>
    <col min="11014" max="11015" width="9.140625" style="16" customWidth="1"/>
    <col min="11016" max="11264" width="8.85546875" style="16"/>
    <col min="11265" max="11266" width="9.140625" style="16" customWidth="1"/>
    <col min="11267" max="11267" width="13.85546875" style="16" customWidth="1"/>
    <col min="11268" max="11268" width="8.85546875" style="16"/>
    <col min="11269" max="11269" width="25.42578125" style="16" customWidth="1"/>
    <col min="11270" max="11271" width="9.140625" style="16" customWidth="1"/>
    <col min="11272" max="11520" width="8.85546875" style="16"/>
    <col min="11521" max="11522" width="9.140625" style="16" customWidth="1"/>
    <col min="11523" max="11523" width="13.85546875" style="16" customWidth="1"/>
    <col min="11524" max="11524" width="8.85546875" style="16"/>
    <col min="11525" max="11525" width="25.42578125" style="16" customWidth="1"/>
    <col min="11526" max="11527" width="9.140625" style="16" customWidth="1"/>
    <col min="11528" max="11776" width="8.85546875" style="16"/>
    <col min="11777" max="11778" width="9.140625" style="16" customWidth="1"/>
    <col min="11779" max="11779" width="13.85546875" style="16" customWidth="1"/>
    <col min="11780" max="11780" width="8.85546875" style="16"/>
    <col min="11781" max="11781" width="25.42578125" style="16" customWidth="1"/>
    <col min="11782" max="11783" width="9.140625" style="16" customWidth="1"/>
    <col min="11784" max="12032" width="8.85546875" style="16"/>
    <col min="12033" max="12034" width="9.140625" style="16" customWidth="1"/>
    <col min="12035" max="12035" width="13.85546875" style="16" customWidth="1"/>
    <col min="12036" max="12036" width="8.85546875" style="16"/>
    <col min="12037" max="12037" width="25.42578125" style="16" customWidth="1"/>
    <col min="12038" max="12039" width="9.140625" style="16" customWidth="1"/>
    <col min="12040" max="12288" width="8.85546875" style="16"/>
    <col min="12289" max="12290" width="9.140625" style="16" customWidth="1"/>
    <col min="12291" max="12291" width="13.85546875" style="16" customWidth="1"/>
    <col min="12292" max="12292" width="8.85546875" style="16"/>
    <col min="12293" max="12293" width="25.42578125" style="16" customWidth="1"/>
    <col min="12294" max="12295" width="9.140625" style="16" customWidth="1"/>
    <col min="12296" max="12544" width="8.85546875" style="16"/>
    <col min="12545" max="12546" width="9.140625" style="16" customWidth="1"/>
    <col min="12547" max="12547" width="13.85546875" style="16" customWidth="1"/>
    <col min="12548" max="12548" width="8.85546875" style="16"/>
    <col min="12549" max="12549" width="25.42578125" style="16" customWidth="1"/>
    <col min="12550" max="12551" width="9.140625" style="16" customWidth="1"/>
    <col min="12552" max="12800" width="8.85546875" style="16"/>
    <col min="12801" max="12802" width="9.140625" style="16" customWidth="1"/>
    <col min="12803" max="12803" width="13.85546875" style="16" customWidth="1"/>
    <col min="12804" max="12804" width="8.85546875" style="16"/>
    <col min="12805" max="12805" width="25.42578125" style="16" customWidth="1"/>
    <col min="12806" max="12807" width="9.140625" style="16" customWidth="1"/>
    <col min="12808" max="13056" width="8.85546875" style="16"/>
    <col min="13057" max="13058" width="9.140625" style="16" customWidth="1"/>
    <col min="13059" max="13059" width="13.85546875" style="16" customWidth="1"/>
    <col min="13060" max="13060" width="8.85546875" style="16"/>
    <col min="13061" max="13061" width="25.42578125" style="16" customWidth="1"/>
    <col min="13062" max="13063" width="9.140625" style="16" customWidth="1"/>
    <col min="13064" max="13312" width="8.85546875" style="16"/>
    <col min="13313" max="13314" width="9.140625" style="16" customWidth="1"/>
    <col min="13315" max="13315" width="13.85546875" style="16" customWidth="1"/>
    <col min="13316" max="13316" width="8.85546875" style="16"/>
    <col min="13317" max="13317" width="25.42578125" style="16" customWidth="1"/>
    <col min="13318" max="13319" width="9.140625" style="16" customWidth="1"/>
    <col min="13320" max="13568" width="8.85546875" style="16"/>
    <col min="13569" max="13570" width="9.140625" style="16" customWidth="1"/>
    <col min="13571" max="13571" width="13.85546875" style="16" customWidth="1"/>
    <col min="13572" max="13572" width="8.85546875" style="16"/>
    <col min="13573" max="13573" width="25.42578125" style="16" customWidth="1"/>
    <col min="13574" max="13575" width="9.140625" style="16" customWidth="1"/>
    <col min="13576" max="13824" width="8.85546875" style="16"/>
    <col min="13825" max="13826" width="9.140625" style="16" customWidth="1"/>
    <col min="13827" max="13827" width="13.85546875" style="16" customWidth="1"/>
    <col min="13828" max="13828" width="8.85546875" style="16"/>
    <col min="13829" max="13829" width="25.42578125" style="16" customWidth="1"/>
    <col min="13830" max="13831" width="9.140625" style="16" customWidth="1"/>
    <col min="13832" max="14080" width="8.85546875" style="16"/>
    <col min="14081" max="14082" width="9.140625" style="16" customWidth="1"/>
    <col min="14083" max="14083" width="13.85546875" style="16" customWidth="1"/>
    <col min="14084" max="14084" width="8.85546875" style="16"/>
    <col min="14085" max="14085" width="25.42578125" style="16" customWidth="1"/>
    <col min="14086" max="14087" width="9.140625" style="16" customWidth="1"/>
    <col min="14088" max="14336" width="8.85546875" style="16"/>
    <col min="14337" max="14338" width="9.140625" style="16" customWidth="1"/>
    <col min="14339" max="14339" width="13.85546875" style="16" customWidth="1"/>
    <col min="14340" max="14340" width="8.85546875" style="16"/>
    <col min="14341" max="14341" width="25.42578125" style="16" customWidth="1"/>
    <col min="14342" max="14343" width="9.140625" style="16" customWidth="1"/>
    <col min="14344" max="14592" width="8.85546875" style="16"/>
    <col min="14593" max="14594" width="9.140625" style="16" customWidth="1"/>
    <col min="14595" max="14595" width="13.85546875" style="16" customWidth="1"/>
    <col min="14596" max="14596" width="8.85546875" style="16"/>
    <col min="14597" max="14597" width="25.42578125" style="16" customWidth="1"/>
    <col min="14598" max="14599" width="9.140625" style="16" customWidth="1"/>
    <col min="14600" max="14848" width="8.85546875" style="16"/>
    <col min="14849" max="14850" width="9.140625" style="16" customWidth="1"/>
    <col min="14851" max="14851" width="13.85546875" style="16" customWidth="1"/>
    <col min="14852" max="14852" width="8.85546875" style="16"/>
    <col min="14853" max="14853" width="25.42578125" style="16" customWidth="1"/>
    <col min="14854" max="14855" width="9.140625" style="16" customWidth="1"/>
    <col min="14856" max="15104" width="8.85546875" style="16"/>
    <col min="15105" max="15106" width="9.140625" style="16" customWidth="1"/>
    <col min="15107" max="15107" width="13.85546875" style="16" customWidth="1"/>
    <col min="15108" max="15108" width="8.85546875" style="16"/>
    <col min="15109" max="15109" width="25.42578125" style="16" customWidth="1"/>
    <col min="15110" max="15111" width="9.140625" style="16" customWidth="1"/>
    <col min="15112" max="15360" width="8.85546875" style="16"/>
    <col min="15361" max="15362" width="9.140625" style="16" customWidth="1"/>
    <col min="15363" max="15363" width="13.85546875" style="16" customWidth="1"/>
    <col min="15364" max="15364" width="8.85546875" style="16"/>
    <col min="15365" max="15365" width="25.42578125" style="16" customWidth="1"/>
    <col min="15366" max="15367" width="9.140625" style="16" customWidth="1"/>
    <col min="15368" max="15616" width="8.85546875" style="16"/>
    <col min="15617" max="15618" width="9.140625" style="16" customWidth="1"/>
    <col min="15619" max="15619" width="13.85546875" style="16" customWidth="1"/>
    <col min="15620" max="15620" width="8.85546875" style="16"/>
    <col min="15621" max="15621" width="25.42578125" style="16" customWidth="1"/>
    <col min="15622" max="15623" width="9.140625" style="16" customWidth="1"/>
    <col min="15624" max="15872" width="8.85546875" style="16"/>
    <col min="15873" max="15874" width="9.140625" style="16" customWidth="1"/>
    <col min="15875" max="15875" width="13.85546875" style="16" customWidth="1"/>
    <col min="15876" max="15876" width="8.85546875" style="16"/>
    <col min="15877" max="15877" width="25.42578125" style="16" customWidth="1"/>
    <col min="15878" max="15879" width="9.140625" style="16" customWidth="1"/>
    <col min="15880" max="16128" width="8.85546875" style="16"/>
    <col min="16129" max="16130" width="9.140625" style="16" customWidth="1"/>
    <col min="16131" max="16131" width="13.85546875" style="16" customWidth="1"/>
    <col min="16132" max="16132" width="8.85546875" style="16"/>
    <col min="16133" max="16133" width="25.42578125" style="16" customWidth="1"/>
    <col min="16134" max="16135" width="9.140625" style="16" customWidth="1"/>
    <col min="16136" max="16384" width="8.85546875" style="16"/>
  </cols>
  <sheetData>
    <row r="1" spans="1:17" ht="15.6" customHeight="1" x14ac:dyDescent="0.2">
      <c r="A1" s="29" t="s">
        <v>104</v>
      </c>
      <c r="B1" s="29" t="s">
        <v>105</v>
      </c>
      <c r="C1" s="30" t="s">
        <v>106</v>
      </c>
      <c r="D1" s="30" t="s">
        <v>107</v>
      </c>
      <c r="E1" s="30" t="s">
        <v>108</v>
      </c>
      <c r="F1" s="29" t="s">
        <v>109</v>
      </c>
      <c r="G1" s="29" t="s">
        <v>110</v>
      </c>
      <c r="K1" s="32">
        <v>24</v>
      </c>
      <c r="L1" s="73" t="s">
        <v>3882</v>
      </c>
      <c r="M1" s="73"/>
      <c r="N1" s="73"/>
      <c r="O1" s="73"/>
      <c r="P1" s="73"/>
      <c r="Q1" s="20" t="s">
        <v>3885</v>
      </c>
    </row>
    <row r="2" spans="1:17" x14ac:dyDescent="0.2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1"/>
      <c r="K2" s="32"/>
      <c r="L2" s="73"/>
      <c r="M2" s="73"/>
      <c r="N2" s="73"/>
      <c r="O2" s="73"/>
      <c r="P2" s="73"/>
    </row>
    <row r="3" spans="1:17" x14ac:dyDescent="0.2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1"/>
      <c r="K3" s="32"/>
      <c r="L3" s="73"/>
      <c r="M3" s="73"/>
      <c r="N3" s="73"/>
      <c r="O3" s="73"/>
      <c r="P3" s="73"/>
    </row>
    <row r="4" spans="1:17" x14ac:dyDescent="0.2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1"/>
      <c r="K4" s="32"/>
    </row>
    <row r="5" spans="1:17" x14ac:dyDescent="0.2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1"/>
      <c r="K5" s="32"/>
    </row>
    <row r="6" spans="1:17" ht="15.6" customHeight="1" x14ac:dyDescent="0.2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1"/>
      <c r="K6" s="32">
        <v>25</v>
      </c>
      <c r="L6" s="74" t="s">
        <v>3883</v>
      </c>
      <c r="M6" s="74"/>
      <c r="N6" s="74"/>
      <c r="O6" s="74"/>
      <c r="P6" s="74"/>
      <c r="Q6" s="20" t="s">
        <v>3884</v>
      </c>
    </row>
    <row r="7" spans="1:17" x14ac:dyDescent="0.2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1"/>
      <c r="K7" s="32"/>
      <c r="L7" s="74"/>
      <c r="M7" s="74"/>
      <c r="N7" s="74"/>
      <c r="O7" s="74"/>
      <c r="P7" s="74"/>
    </row>
    <row r="8" spans="1:17" x14ac:dyDescent="0.2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1"/>
      <c r="L8" s="74"/>
      <c r="M8" s="74"/>
      <c r="N8" s="74"/>
      <c r="O8" s="74"/>
      <c r="P8" s="74"/>
    </row>
    <row r="9" spans="1:17" x14ac:dyDescent="0.2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1"/>
      <c r="L9" s="74"/>
      <c r="M9" s="74"/>
      <c r="N9" s="74"/>
      <c r="O9" s="74"/>
      <c r="P9" s="74"/>
    </row>
    <row r="10" spans="1:17" x14ac:dyDescent="0.2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1"/>
    </row>
    <row r="11" spans="1:17" x14ac:dyDescent="0.2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1"/>
    </row>
    <row r="12" spans="1:17" x14ac:dyDescent="0.2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1"/>
      <c r="K12" s="32">
        <v>26</v>
      </c>
      <c r="L12" s="74" t="s">
        <v>3891</v>
      </c>
      <c r="M12" s="74"/>
      <c r="N12" s="74"/>
      <c r="O12" s="74"/>
      <c r="P12" s="74"/>
      <c r="Q12" s="16" t="s">
        <v>3884</v>
      </c>
    </row>
    <row r="13" spans="1:17" x14ac:dyDescent="0.2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1"/>
      <c r="K13" s="32"/>
      <c r="L13" s="74"/>
      <c r="M13" s="74"/>
      <c r="N13" s="74"/>
      <c r="O13" s="74"/>
      <c r="P13" s="74"/>
    </row>
    <row r="14" spans="1:17" x14ac:dyDescent="0.2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1"/>
      <c r="L14" s="74"/>
      <c r="M14" s="74"/>
      <c r="N14" s="74"/>
      <c r="O14" s="74"/>
      <c r="P14" s="74"/>
    </row>
    <row r="15" spans="1:17" x14ac:dyDescent="0.2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1"/>
      <c r="L15" s="74"/>
      <c r="M15" s="74"/>
      <c r="N15" s="74"/>
      <c r="O15" s="74"/>
      <c r="P15" s="74"/>
    </row>
    <row r="16" spans="1:17" x14ac:dyDescent="0.2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1"/>
    </row>
    <row r="17" spans="1:8" x14ac:dyDescent="0.2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1"/>
    </row>
    <row r="18" spans="1:8" x14ac:dyDescent="0.2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1"/>
    </row>
    <row r="19" spans="1:8" x14ac:dyDescent="0.2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1"/>
    </row>
    <row r="20" spans="1:8" x14ac:dyDescent="0.2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1"/>
    </row>
    <row r="21" spans="1:8" x14ac:dyDescent="0.2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1"/>
    </row>
    <row r="22" spans="1:8" x14ac:dyDescent="0.2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1"/>
    </row>
    <row r="23" spans="1:8" x14ac:dyDescent="0.2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1"/>
    </row>
    <row r="24" spans="1:8" x14ac:dyDescent="0.2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1"/>
    </row>
    <row r="25" spans="1:8" x14ac:dyDescent="0.2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1"/>
    </row>
    <row r="26" spans="1:8" x14ac:dyDescent="0.2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1"/>
    </row>
    <row r="27" spans="1:8" x14ac:dyDescent="0.2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1"/>
    </row>
    <row r="28" spans="1:8" x14ac:dyDescent="0.2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1"/>
    </row>
    <row r="29" spans="1:8" x14ac:dyDescent="0.2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1"/>
    </row>
    <row r="30" spans="1:8" x14ac:dyDescent="0.2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1"/>
    </row>
    <row r="31" spans="1:8" x14ac:dyDescent="0.2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1"/>
    </row>
    <row r="32" spans="1:8" x14ac:dyDescent="0.2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1"/>
    </row>
    <row r="33" spans="1:8" x14ac:dyDescent="0.2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1"/>
    </row>
    <row r="34" spans="1:8" x14ac:dyDescent="0.2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1"/>
    </row>
    <row r="35" spans="1:8" x14ac:dyDescent="0.2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1"/>
    </row>
    <row r="36" spans="1:8" x14ac:dyDescent="0.2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1"/>
    </row>
    <row r="37" spans="1:8" x14ac:dyDescent="0.2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1"/>
    </row>
    <row r="38" spans="1:8" x14ac:dyDescent="0.2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1"/>
    </row>
    <row r="39" spans="1:8" x14ac:dyDescent="0.2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1"/>
    </row>
    <row r="40" spans="1:8" x14ac:dyDescent="0.2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1"/>
    </row>
    <row r="41" spans="1:8" x14ac:dyDescent="0.2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1"/>
    </row>
    <row r="42" spans="1:8" x14ac:dyDescent="0.2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1"/>
    </row>
    <row r="43" spans="1:8" x14ac:dyDescent="0.2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1"/>
    </row>
    <row r="44" spans="1:8" x14ac:dyDescent="0.2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1"/>
    </row>
    <row r="45" spans="1:8" x14ac:dyDescent="0.2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1"/>
    </row>
    <row r="46" spans="1:8" x14ac:dyDescent="0.2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1"/>
    </row>
    <row r="47" spans="1:8" x14ac:dyDescent="0.2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1"/>
    </row>
    <row r="48" spans="1:8" x14ac:dyDescent="0.2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1"/>
    </row>
    <row r="49" spans="1:8" x14ac:dyDescent="0.2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1"/>
    </row>
    <row r="50" spans="1:8" x14ac:dyDescent="0.2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1"/>
    </row>
    <row r="51" spans="1:8" x14ac:dyDescent="0.2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1"/>
    </row>
    <row r="52" spans="1:8" x14ac:dyDescent="0.2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1"/>
    </row>
    <row r="53" spans="1:8" x14ac:dyDescent="0.2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1"/>
    </row>
    <row r="54" spans="1:8" x14ac:dyDescent="0.2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1"/>
    </row>
    <row r="55" spans="1:8" x14ac:dyDescent="0.2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1"/>
    </row>
    <row r="56" spans="1:8" x14ac:dyDescent="0.2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1"/>
    </row>
    <row r="57" spans="1:8" x14ac:dyDescent="0.2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1"/>
    </row>
    <row r="58" spans="1:8" x14ac:dyDescent="0.2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1"/>
    </row>
    <row r="59" spans="1:8" x14ac:dyDescent="0.2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1"/>
    </row>
    <row r="60" spans="1:8" x14ac:dyDescent="0.2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1"/>
    </row>
    <row r="61" spans="1:8" x14ac:dyDescent="0.2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1"/>
    </row>
    <row r="62" spans="1:8" x14ac:dyDescent="0.2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1"/>
    </row>
    <row r="63" spans="1:8" x14ac:dyDescent="0.2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1"/>
    </row>
    <row r="64" spans="1:8" x14ac:dyDescent="0.2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1"/>
    </row>
    <row r="65" spans="1:8" x14ac:dyDescent="0.2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1"/>
    </row>
    <row r="66" spans="1:8" x14ac:dyDescent="0.2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1"/>
    </row>
    <row r="67" spans="1:8" x14ac:dyDescent="0.2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1"/>
    </row>
    <row r="68" spans="1:8" x14ac:dyDescent="0.2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1"/>
    </row>
    <row r="69" spans="1:8" x14ac:dyDescent="0.2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1"/>
    </row>
    <row r="70" spans="1:8" x14ac:dyDescent="0.2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1"/>
    </row>
    <row r="71" spans="1:8" x14ac:dyDescent="0.2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1"/>
    </row>
    <row r="72" spans="1:8" x14ac:dyDescent="0.2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1"/>
    </row>
    <row r="73" spans="1:8" x14ac:dyDescent="0.2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1"/>
    </row>
    <row r="74" spans="1:8" x14ac:dyDescent="0.2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1"/>
    </row>
    <row r="75" spans="1:8" x14ac:dyDescent="0.2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1"/>
    </row>
    <row r="76" spans="1:8" x14ac:dyDescent="0.2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1"/>
    </row>
    <row r="77" spans="1:8" x14ac:dyDescent="0.2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1"/>
    </row>
    <row r="78" spans="1:8" x14ac:dyDescent="0.2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1"/>
    </row>
    <row r="79" spans="1:8" x14ac:dyDescent="0.2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1"/>
    </row>
    <row r="80" spans="1:8" x14ac:dyDescent="0.2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1"/>
    </row>
    <row r="81" spans="1:8" x14ac:dyDescent="0.2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1"/>
    </row>
    <row r="82" spans="1:8" x14ac:dyDescent="0.2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1"/>
    </row>
    <row r="83" spans="1:8" x14ac:dyDescent="0.2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1"/>
    </row>
    <row r="84" spans="1:8" x14ac:dyDescent="0.2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1"/>
    </row>
    <row r="85" spans="1:8" x14ac:dyDescent="0.2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1"/>
    </row>
    <row r="86" spans="1:8" x14ac:dyDescent="0.2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1"/>
    </row>
    <row r="87" spans="1:8" x14ac:dyDescent="0.2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1"/>
    </row>
    <row r="88" spans="1:8" x14ac:dyDescent="0.2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1"/>
    </row>
    <row r="89" spans="1:8" x14ac:dyDescent="0.2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1"/>
    </row>
    <row r="90" spans="1:8" x14ac:dyDescent="0.2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1"/>
    </row>
    <row r="91" spans="1:8" x14ac:dyDescent="0.2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1"/>
    </row>
    <row r="92" spans="1:8" x14ac:dyDescent="0.2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1"/>
    </row>
    <row r="93" spans="1:8" x14ac:dyDescent="0.2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1"/>
    </row>
    <row r="94" spans="1:8" x14ac:dyDescent="0.2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1"/>
    </row>
    <row r="95" spans="1:8" x14ac:dyDescent="0.2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1"/>
    </row>
    <row r="96" spans="1:8" x14ac:dyDescent="0.2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1"/>
    </row>
    <row r="97" spans="1:8" x14ac:dyDescent="0.2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1"/>
    </row>
    <row r="98" spans="1:8" x14ac:dyDescent="0.2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1"/>
    </row>
    <row r="99" spans="1:8" x14ac:dyDescent="0.2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1"/>
    </row>
    <row r="100" spans="1:8" x14ac:dyDescent="0.2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1"/>
    </row>
    <row r="101" spans="1:8" x14ac:dyDescent="0.2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1"/>
    </row>
    <row r="102" spans="1:8" x14ac:dyDescent="0.2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1"/>
    </row>
    <row r="103" spans="1:8" x14ac:dyDescent="0.2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1"/>
    </row>
    <row r="104" spans="1:8" x14ac:dyDescent="0.2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1"/>
    </row>
    <row r="105" spans="1:8" x14ac:dyDescent="0.2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1"/>
    </row>
    <row r="106" spans="1:8" x14ac:dyDescent="0.2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1"/>
    </row>
    <row r="107" spans="1:8" x14ac:dyDescent="0.2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1"/>
    </row>
    <row r="108" spans="1:8" x14ac:dyDescent="0.2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1"/>
    </row>
    <row r="109" spans="1:8" x14ac:dyDescent="0.2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1"/>
    </row>
    <row r="110" spans="1:8" x14ac:dyDescent="0.2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1"/>
    </row>
    <row r="111" spans="1:8" x14ac:dyDescent="0.2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1"/>
    </row>
    <row r="112" spans="1:8" x14ac:dyDescent="0.2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1"/>
    </row>
    <row r="113" spans="1:8" x14ac:dyDescent="0.2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1"/>
    </row>
    <row r="114" spans="1:8" x14ac:dyDescent="0.2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1"/>
    </row>
    <row r="115" spans="1:8" x14ac:dyDescent="0.2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1"/>
    </row>
    <row r="116" spans="1:8" x14ac:dyDescent="0.2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1"/>
    </row>
    <row r="117" spans="1:8" x14ac:dyDescent="0.2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1"/>
    </row>
    <row r="118" spans="1:8" x14ac:dyDescent="0.2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1"/>
    </row>
    <row r="119" spans="1:8" x14ac:dyDescent="0.2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1"/>
    </row>
    <row r="120" spans="1:8" x14ac:dyDescent="0.2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1"/>
    </row>
    <row r="121" spans="1:8" x14ac:dyDescent="0.2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1"/>
    </row>
    <row r="122" spans="1:8" x14ac:dyDescent="0.2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1"/>
    </row>
    <row r="123" spans="1:8" x14ac:dyDescent="0.2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1"/>
    </row>
    <row r="124" spans="1:8" x14ac:dyDescent="0.2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1"/>
    </row>
    <row r="125" spans="1:8" x14ac:dyDescent="0.2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1"/>
    </row>
    <row r="126" spans="1:8" x14ac:dyDescent="0.2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1"/>
    </row>
    <row r="127" spans="1:8" x14ac:dyDescent="0.2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1"/>
    </row>
    <row r="128" spans="1:8" x14ac:dyDescent="0.2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1"/>
    </row>
    <row r="129" spans="1:8" x14ac:dyDescent="0.2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1"/>
    </row>
    <row r="130" spans="1:8" x14ac:dyDescent="0.2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1"/>
    </row>
    <row r="131" spans="1:8" x14ac:dyDescent="0.2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1"/>
    </row>
    <row r="132" spans="1:8" x14ac:dyDescent="0.2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1"/>
    </row>
    <row r="133" spans="1:8" x14ac:dyDescent="0.2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1"/>
    </row>
    <row r="134" spans="1:8" x14ac:dyDescent="0.2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1"/>
    </row>
    <row r="135" spans="1:8" x14ac:dyDescent="0.2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1"/>
    </row>
    <row r="136" spans="1:8" x14ac:dyDescent="0.2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1"/>
    </row>
    <row r="137" spans="1:8" x14ac:dyDescent="0.2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1"/>
    </row>
    <row r="138" spans="1:8" x14ac:dyDescent="0.2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1"/>
    </row>
    <row r="139" spans="1:8" x14ac:dyDescent="0.2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1"/>
    </row>
    <row r="140" spans="1:8" x14ac:dyDescent="0.2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1"/>
    </row>
    <row r="141" spans="1:8" x14ac:dyDescent="0.2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1"/>
    </row>
    <row r="142" spans="1:8" x14ac:dyDescent="0.2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1"/>
    </row>
    <row r="143" spans="1:8" x14ac:dyDescent="0.2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1"/>
    </row>
    <row r="144" spans="1:8" x14ac:dyDescent="0.2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1"/>
    </row>
    <row r="145" spans="1:8" x14ac:dyDescent="0.2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1"/>
    </row>
    <row r="146" spans="1:8" x14ac:dyDescent="0.2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1"/>
    </row>
    <row r="147" spans="1:8" x14ac:dyDescent="0.2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1"/>
    </row>
    <row r="148" spans="1:8" x14ac:dyDescent="0.2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1"/>
    </row>
    <row r="149" spans="1:8" x14ac:dyDescent="0.2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1"/>
    </row>
    <row r="150" spans="1:8" x14ac:dyDescent="0.2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1"/>
    </row>
    <row r="151" spans="1:8" x14ac:dyDescent="0.2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1"/>
    </row>
    <row r="152" spans="1:8" x14ac:dyDescent="0.2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1"/>
    </row>
    <row r="153" spans="1:8" x14ac:dyDescent="0.2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1"/>
    </row>
    <row r="154" spans="1:8" x14ac:dyDescent="0.2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1"/>
    </row>
    <row r="155" spans="1:8" x14ac:dyDescent="0.2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1"/>
    </row>
    <row r="156" spans="1:8" x14ac:dyDescent="0.2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1"/>
    </row>
    <row r="157" spans="1:8" x14ac:dyDescent="0.2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1"/>
    </row>
    <row r="158" spans="1:8" x14ac:dyDescent="0.2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1"/>
    </row>
    <row r="159" spans="1:8" x14ac:dyDescent="0.2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1"/>
    </row>
    <row r="160" spans="1:8" x14ac:dyDescent="0.2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1"/>
    </row>
    <row r="161" spans="1:8" x14ac:dyDescent="0.2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1"/>
    </row>
    <row r="162" spans="1:8" x14ac:dyDescent="0.2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1"/>
    </row>
    <row r="163" spans="1:8" x14ac:dyDescent="0.2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1"/>
    </row>
    <row r="164" spans="1:8" x14ac:dyDescent="0.2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1"/>
    </row>
    <row r="165" spans="1:8" x14ac:dyDescent="0.2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1"/>
    </row>
    <row r="166" spans="1:8" x14ac:dyDescent="0.2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1"/>
    </row>
    <row r="167" spans="1:8" x14ac:dyDescent="0.2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1"/>
    </row>
    <row r="168" spans="1:8" x14ac:dyDescent="0.2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1"/>
    </row>
    <row r="169" spans="1:8" x14ac:dyDescent="0.2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1"/>
    </row>
    <row r="170" spans="1:8" x14ac:dyDescent="0.2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1"/>
    </row>
    <row r="171" spans="1:8" x14ac:dyDescent="0.2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1"/>
    </row>
    <row r="172" spans="1:8" x14ac:dyDescent="0.2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1"/>
    </row>
    <row r="173" spans="1:8" x14ac:dyDescent="0.2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1"/>
    </row>
    <row r="174" spans="1:8" x14ac:dyDescent="0.2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1"/>
    </row>
    <row r="175" spans="1:8" x14ac:dyDescent="0.2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1"/>
    </row>
    <row r="176" spans="1:8" x14ac:dyDescent="0.2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1"/>
    </row>
    <row r="177" spans="1:8" x14ac:dyDescent="0.2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1"/>
    </row>
    <row r="178" spans="1:8" x14ac:dyDescent="0.2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1"/>
    </row>
    <row r="179" spans="1:8" x14ac:dyDescent="0.2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1"/>
    </row>
    <row r="180" spans="1:8" x14ac:dyDescent="0.2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1"/>
    </row>
    <row r="181" spans="1:8" x14ac:dyDescent="0.2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1"/>
    </row>
    <row r="182" spans="1:8" x14ac:dyDescent="0.2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1"/>
    </row>
    <row r="183" spans="1:8" x14ac:dyDescent="0.2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1"/>
    </row>
    <row r="184" spans="1:8" x14ac:dyDescent="0.2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1"/>
    </row>
    <row r="185" spans="1:8" x14ac:dyDescent="0.2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1"/>
    </row>
    <row r="186" spans="1:8" x14ac:dyDescent="0.2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1"/>
    </row>
    <row r="187" spans="1:8" x14ac:dyDescent="0.2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1"/>
    </row>
    <row r="188" spans="1:8" x14ac:dyDescent="0.2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1"/>
    </row>
    <row r="189" spans="1:8" x14ac:dyDescent="0.2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1"/>
    </row>
    <row r="190" spans="1:8" x14ac:dyDescent="0.2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1"/>
    </row>
    <row r="191" spans="1:8" x14ac:dyDescent="0.2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1"/>
    </row>
    <row r="192" spans="1:8" x14ac:dyDescent="0.2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1"/>
    </row>
    <row r="193" spans="1:8" x14ac:dyDescent="0.2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1"/>
    </row>
    <row r="194" spans="1:8" x14ac:dyDescent="0.2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1"/>
    </row>
    <row r="195" spans="1:8" x14ac:dyDescent="0.2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1"/>
    </row>
    <row r="196" spans="1:8" x14ac:dyDescent="0.2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1"/>
    </row>
    <row r="197" spans="1:8" x14ac:dyDescent="0.2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1"/>
    </row>
    <row r="198" spans="1:8" x14ac:dyDescent="0.2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1"/>
    </row>
    <row r="199" spans="1:8" x14ac:dyDescent="0.2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1"/>
    </row>
    <row r="200" spans="1:8" x14ac:dyDescent="0.2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1"/>
    </row>
    <row r="201" spans="1:8" x14ac:dyDescent="0.2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1"/>
    </row>
    <row r="202" spans="1:8" x14ac:dyDescent="0.2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1"/>
    </row>
    <row r="203" spans="1:8" x14ac:dyDescent="0.2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1"/>
    </row>
    <row r="204" spans="1:8" x14ac:dyDescent="0.2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1"/>
    </row>
    <row r="205" spans="1:8" x14ac:dyDescent="0.2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1"/>
    </row>
    <row r="206" spans="1:8" x14ac:dyDescent="0.2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1"/>
    </row>
    <row r="207" spans="1:8" x14ac:dyDescent="0.2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1"/>
    </row>
    <row r="208" spans="1:8" x14ac:dyDescent="0.2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1"/>
    </row>
    <row r="209" spans="1:8" x14ac:dyDescent="0.2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1"/>
    </row>
    <row r="210" spans="1:8" x14ac:dyDescent="0.2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1"/>
    </row>
    <row r="211" spans="1:8" x14ac:dyDescent="0.2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1"/>
    </row>
    <row r="212" spans="1:8" x14ac:dyDescent="0.2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1"/>
    </row>
    <row r="213" spans="1:8" x14ac:dyDescent="0.2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1"/>
    </row>
    <row r="214" spans="1:8" x14ac:dyDescent="0.2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1"/>
    </row>
    <row r="215" spans="1:8" x14ac:dyDescent="0.2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1"/>
    </row>
    <row r="216" spans="1:8" x14ac:dyDescent="0.2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1"/>
    </row>
    <row r="217" spans="1:8" x14ac:dyDescent="0.2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1"/>
    </row>
    <row r="218" spans="1:8" x14ac:dyDescent="0.2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1"/>
    </row>
    <row r="219" spans="1:8" x14ac:dyDescent="0.2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1"/>
    </row>
    <row r="220" spans="1:8" x14ac:dyDescent="0.2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1"/>
    </row>
    <row r="221" spans="1:8" x14ac:dyDescent="0.2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1"/>
    </row>
    <row r="222" spans="1:8" x14ac:dyDescent="0.2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1"/>
    </row>
    <row r="223" spans="1:8" x14ac:dyDescent="0.2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1"/>
    </row>
    <row r="224" spans="1:8" x14ac:dyDescent="0.2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1"/>
    </row>
    <row r="225" spans="1:8" x14ac:dyDescent="0.2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1"/>
    </row>
    <row r="226" spans="1:8" x14ac:dyDescent="0.2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1"/>
    </row>
    <row r="227" spans="1:8" x14ac:dyDescent="0.2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1"/>
    </row>
    <row r="228" spans="1:8" x14ac:dyDescent="0.2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1"/>
    </row>
    <row r="229" spans="1:8" x14ac:dyDescent="0.2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1"/>
    </row>
    <row r="230" spans="1:8" x14ac:dyDescent="0.2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1"/>
    </row>
    <row r="231" spans="1:8" x14ac:dyDescent="0.2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1"/>
    </row>
    <row r="232" spans="1:8" x14ac:dyDescent="0.2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1"/>
    </row>
    <row r="233" spans="1:8" x14ac:dyDescent="0.2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1"/>
    </row>
    <row r="234" spans="1:8" x14ac:dyDescent="0.2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1"/>
    </row>
    <row r="235" spans="1:8" x14ac:dyDescent="0.2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1"/>
    </row>
    <row r="236" spans="1:8" x14ac:dyDescent="0.2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1"/>
    </row>
    <row r="237" spans="1:8" x14ac:dyDescent="0.2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1"/>
    </row>
    <row r="238" spans="1:8" x14ac:dyDescent="0.2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1"/>
    </row>
    <row r="239" spans="1:8" x14ac:dyDescent="0.2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1"/>
    </row>
    <row r="240" spans="1:8" x14ac:dyDescent="0.2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1"/>
    </row>
    <row r="241" spans="1:8" x14ac:dyDescent="0.2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1"/>
    </row>
    <row r="242" spans="1:8" x14ac:dyDescent="0.2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1"/>
    </row>
    <row r="243" spans="1:8" x14ac:dyDescent="0.2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1"/>
    </row>
    <row r="244" spans="1:8" x14ac:dyDescent="0.2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1"/>
    </row>
    <row r="245" spans="1:8" x14ac:dyDescent="0.2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1"/>
    </row>
    <row r="246" spans="1:8" x14ac:dyDescent="0.2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1"/>
    </row>
    <row r="247" spans="1:8" x14ac:dyDescent="0.2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1"/>
    </row>
    <row r="248" spans="1:8" x14ac:dyDescent="0.2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1"/>
    </row>
    <row r="249" spans="1:8" x14ac:dyDescent="0.2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1"/>
    </row>
    <row r="250" spans="1:8" x14ac:dyDescent="0.2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1"/>
    </row>
    <row r="251" spans="1:8" x14ac:dyDescent="0.2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1"/>
    </row>
    <row r="252" spans="1:8" x14ac:dyDescent="0.2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1"/>
    </row>
    <row r="253" spans="1:8" x14ac:dyDescent="0.2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1"/>
    </row>
    <row r="254" spans="1:8" x14ac:dyDescent="0.2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1"/>
    </row>
    <row r="255" spans="1:8" x14ac:dyDescent="0.2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1"/>
    </row>
    <row r="256" spans="1:8" x14ac:dyDescent="0.2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1"/>
    </row>
    <row r="257" spans="1:8" x14ac:dyDescent="0.2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1"/>
    </row>
    <row r="258" spans="1:8" x14ac:dyDescent="0.2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1"/>
    </row>
    <row r="259" spans="1:8" x14ac:dyDescent="0.2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1"/>
    </row>
    <row r="260" spans="1:8" x14ac:dyDescent="0.2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1"/>
    </row>
    <row r="261" spans="1:8" x14ac:dyDescent="0.2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1"/>
    </row>
    <row r="262" spans="1:8" x14ac:dyDescent="0.2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1"/>
    </row>
    <row r="263" spans="1:8" x14ac:dyDescent="0.2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1"/>
    </row>
    <row r="264" spans="1:8" x14ac:dyDescent="0.2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1"/>
    </row>
    <row r="265" spans="1:8" x14ac:dyDescent="0.2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1"/>
    </row>
    <row r="266" spans="1:8" x14ac:dyDescent="0.2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1"/>
    </row>
    <row r="267" spans="1:8" x14ac:dyDescent="0.2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1"/>
    </row>
    <row r="268" spans="1:8" x14ac:dyDescent="0.2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1"/>
    </row>
    <row r="269" spans="1:8" x14ac:dyDescent="0.2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1"/>
    </row>
    <row r="270" spans="1:8" x14ac:dyDescent="0.2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1"/>
    </row>
    <row r="271" spans="1:8" x14ac:dyDescent="0.2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1"/>
    </row>
    <row r="272" spans="1:8" x14ac:dyDescent="0.2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1"/>
    </row>
    <row r="273" spans="1:8" x14ac:dyDescent="0.2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1"/>
    </row>
    <row r="274" spans="1:8" x14ac:dyDescent="0.2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1"/>
    </row>
    <row r="275" spans="1:8" x14ac:dyDescent="0.2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1"/>
    </row>
    <row r="276" spans="1:8" x14ac:dyDescent="0.2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1"/>
    </row>
    <row r="277" spans="1:8" x14ac:dyDescent="0.2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1"/>
    </row>
    <row r="278" spans="1:8" x14ac:dyDescent="0.2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1"/>
    </row>
    <row r="279" spans="1:8" x14ac:dyDescent="0.2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1"/>
    </row>
    <row r="280" spans="1:8" x14ac:dyDescent="0.2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1"/>
    </row>
    <row r="281" spans="1:8" x14ac:dyDescent="0.2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1"/>
    </row>
    <row r="282" spans="1:8" x14ac:dyDescent="0.2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1"/>
    </row>
    <row r="283" spans="1:8" x14ac:dyDescent="0.2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1"/>
    </row>
    <row r="284" spans="1:8" x14ac:dyDescent="0.2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1"/>
    </row>
    <row r="285" spans="1:8" x14ac:dyDescent="0.2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1"/>
    </row>
    <row r="286" spans="1:8" x14ac:dyDescent="0.2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1"/>
    </row>
    <row r="287" spans="1:8" x14ac:dyDescent="0.2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1"/>
    </row>
    <row r="288" spans="1:8" x14ac:dyDescent="0.2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1"/>
    </row>
    <row r="289" spans="1:8" x14ac:dyDescent="0.2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1"/>
    </row>
    <row r="290" spans="1:8" x14ac:dyDescent="0.2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1"/>
    </row>
    <row r="291" spans="1:8" x14ac:dyDescent="0.2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1"/>
    </row>
    <row r="292" spans="1:8" x14ac:dyDescent="0.2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1"/>
    </row>
    <row r="293" spans="1:8" x14ac:dyDescent="0.2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1"/>
    </row>
    <row r="294" spans="1:8" x14ac:dyDescent="0.2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1"/>
    </row>
    <row r="295" spans="1:8" x14ac:dyDescent="0.2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1"/>
    </row>
    <row r="296" spans="1:8" x14ac:dyDescent="0.2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1"/>
    </row>
    <row r="297" spans="1:8" x14ac:dyDescent="0.2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1"/>
    </row>
    <row r="298" spans="1:8" x14ac:dyDescent="0.2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1"/>
    </row>
    <row r="299" spans="1:8" x14ac:dyDescent="0.2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1"/>
    </row>
    <row r="300" spans="1:8" x14ac:dyDescent="0.2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1"/>
    </row>
    <row r="301" spans="1:8" x14ac:dyDescent="0.2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1"/>
    </row>
    <row r="302" spans="1:8" x14ac:dyDescent="0.2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1"/>
    </row>
    <row r="303" spans="1:8" x14ac:dyDescent="0.2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1"/>
    </row>
    <row r="304" spans="1:8" x14ac:dyDescent="0.2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1"/>
    </row>
    <row r="305" spans="1:8" x14ac:dyDescent="0.2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1"/>
    </row>
    <row r="306" spans="1:8" x14ac:dyDescent="0.2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1"/>
    </row>
    <row r="307" spans="1:8" x14ac:dyDescent="0.2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1"/>
    </row>
    <row r="308" spans="1:8" x14ac:dyDescent="0.2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1"/>
    </row>
    <row r="309" spans="1:8" x14ac:dyDescent="0.2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1"/>
    </row>
    <row r="310" spans="1:8" x14ac:dyDescent="0.2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1"/>
    </row>
    <row r="311" spans="1:8" x14ac:dyDescent="0.2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1"/>
    </row>
    <row r="312" spans="1:8" x14ac:dyDescent="0.2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1"/>
    </row>
    <row r="313" spans="1:8" x14ac:dyDescent="0.2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1"/>
    </row>
    <row r="314" spans="1:8" x14ac:dyDescent="0.2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1"/>
    </row>
    <row r="315" spans="1:8" x14ac:dyDescent="0.2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1"/>
    </row>
    <row r="316" spans="1:8" x14ac:dyDescent="0.2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1"/>
    </row>
    <row r="317" spans="1:8" x14ac:dyDescent="0.2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1"/>
    </row>
    <row r="318" spans="1:8" x14ac:dyDescent="0.2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1"/>
    </row>
    <row r="319" spans="1:8" x14ac:dyDescent="0.2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1"/>
    </row>
    <row r="320" spans="1:8" x14ac:dyDescent="0.2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1"/>
    </row>
    <row r="321" spans="1:8" x14ac:dyDescent="0.2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1"/>
    </row>
    <row r="322" spans="1:8" x14ac:dyDescent="0.2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1"/>
    </row>
    <row r="323" spans="1:8" x14ac:dyDescent="0.2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1"/>
    </row>
    <row r="324" spans="1:8" x14ac:dyDescent="0.2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1"/>
    </row>
    <row r="325" spans="1:8" x14ac:dyDescent="0.2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1"/>
    </row>
    <row r="326" spans="1:8" x14ac:dyDescent="0.2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1"/>
    </row>
    <row r="327" spans="1:8" x14ac:dyDescent="0.2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1"/>
    </row>
    <row r="328" spans="1:8" x14ac:dyDescent="0.2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1"/>
    </row>
    <row r="329" spans="1:8" x14ac:dyDescent="0.2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1"/>
    </row>
    <row r="330" spans="1:8" x14ac:dyDescent="0.2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1"/>
    </row>
    <row r="331" spans="1:8" x14ac:dyDescent="0.2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1"/>
    </row>
    <row r="332" spans="1:8" x14ac:dyDescent="0.2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1"/>
    </row>
    <row r="333" spans="1:8" x14ac:dyDescent="0.2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1"/>
    </row>
    <row r="334" spans="1:8" x14ac:dyDescent="0.2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1"/>
    </row>
    <row r="335" spans="1:8" x14ac:dyDescent="0.2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1"/>
    </row>
    <row r="336" spans="1:8" x14ac:dyDescent="0.2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1"/>
    </row>
    <row r="337" spans="1:8" x14ac:dyDescent="0.2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1"/>
    </row>
    <row r="338" spans="1:8" x14ac:dyDescent="0.2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1"/>
    </row>
    <row r="339" spans="1:8" x14ac:dyDescent="0.2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1"/>
    </row>
    <row r="340" spans="1:8" x14ac:dyDescent="0.2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1"/>
    </row>
    <row r="341" spans="1:8" x14ac:dyDescent="0.2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1"/>
    </row>
    <row r="342" spans="1:8" x14ac:dyDescent="0.2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1"/>
    </row>
    <row r="343" spans="1:8" x14ac:dyDescent="0.2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1"/>
    </row>
    <row r="344" spans="1:8" x14ac:dyDescent="0.2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1"/>
    </row>
    <row r="345" spans="1:8" x14ac:dyDescent="0.2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1"/>
    </row>
    <row r="346" spans="1:8" x14ac:dyDescent="0.2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1"/>
    </row>
    <row r="347" spans="1:8" x14ac:dyDescent="0.2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1"/>
    </row>
    <row r="348" spans="1:8" x14ac:dyDescent="0.2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1"/>
    </row>
    <row r="349" spans="1:8" x14ac:dyDescent="0.2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1"/>
    </row>
    <row r="350" spans="1:8" x14ac:dyDescent="0.2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1"/>
    </row>
    <row r="351" spans="1:8" x14ac:dyDescent="0.2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1"/>
    </row>
    <row r="352" spans="1:8" x14ac:dyDescent="0.2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1"/>
    </row>
    <row r="353" spans="1:8" x14ac:dyDescent="0.2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1"/>
    </row>
    <row r="354" spans="1:8" x14ac:dyDescent="0.2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1"/>
    </row>
    <row r="355" spans="1:8" x14ac:dyDescent="0.2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1"/>
    </row>
    <row r="356" spans="1:8" x14ac:dyDescent="0.2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1"/>
    </row>
    <row r="357" spans="1:8" x14ac:dyDescent="0.2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1"/>
    </row>
    <row r="358" spans="1:8" x14ac:dyDescent="0.2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1"/>
    </row>
    <row r="359" spans="1:8" x14ac:dyDescent="0.2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1"/>
    </row>
    <row r="360" spans="1:8" x14ac:dyDescent="0.2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1"/>
    </row>
    <row r="361" spans="1:8" x14ac:dyDescent="0.2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1"/>
    </row>
    <row r="362" spans="1:8" x14ac:dyDescent="0.2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1"/>
    </row>
    <row r="363" spans="1:8" x14ac:dyDescent="0.2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1"/>
    </row>
    <row r="364" spans="1:8" x14ac:dyDescent="0.2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1"/>
    </row>
    <row r="365" spans="1:8" x14ac:dyDescent="0.2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1"/>
    </row>
    <row r="366" spans="1:8" x14ac:dyDescent="0.2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1"/>
    </row>
    <row r="367" spans="1:8" x14ac:dyDescent="0.2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1"/>
    </row>
    <row r="368" spans="1:8" x14ac:dyDescent="0.2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1"/>
    </row>
    <row r="369" spans="1:8" x14ac:dyDescent="0.2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1"/>
    </row>
    <row r="370" spans="1:8" x14ac:dyDescent="0.2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1"/>
    </row>
    <row r="371" spans="1:8" x14ac:dyDescent="0.2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1"/>
    </row>
    <row r="372" spans="1:8" x14ac:dyDescent="0.2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1"/>
    </row>
    <row r="373" spans="1:8" x14ac:dyDescent="0.2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1"/>
    </row>
    <row r="374" spans="1:8" x14ac:dyDescent="0.2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1"/>
    </row>
    <row r="375" spans="1:8" x14ac:dyDescent="0.2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1"/>
    </row>
    <row r="376" spans="1:8" x14ac:dyDescent="0.2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1"/>
    </row>
    <row r="377" spans="1:8" x14ac:dyDescent="0.2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1"/>
    </row>
    <row r="378" spans="1:8" x14ac:dyDescent="0.2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1"/>
    </row>
    <row r="379" spans="1:8" x14ac:dyDescent="0.2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1"/>
    </row>
    <row r="380" spans="1:8" x14ac:dyDescent="0.2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1"/>
    </row>
    <row r="381" spans="1:8" x14ac:dyDescent="0.2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1"/>
    </row>
    <row r="382" spans="1:8" x14ac:dyDescent="0.2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1"/>
    </row>
    <row r="383" spans="1:8" x14ac:dyDescent="0.2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1"/>
    </row>
    <row r="384" spans="1:8" x14ac:dyDescent="0.2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1"/>
    </row>
    <row r="385" spans="1:8" x14ac:dyDescent="0.2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1"/>
    </row>
    <row r="386" spans="1:8" x14ac:dyDescent="0.2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1"/>
    </row>
    <row r="387" spans="1:8" x14ac:dyDescent="0.2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1"/>
    </row>
    <row r="388" spans="1:8" x14ac:dyDescent="0.2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1"/>
    </row>
    <row r="389" spans="1:8" x14ac:dyDescent="0.2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1"/>
    </row>
    <row r="390" spans="1:8" x14ac:dyDescent="0.2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1"/>
    </row>
    <row r="391" spans="1:8" x14ac:dyDescent="0.2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1"/>
    </row>
    <row r="392" spans="1:8" x14ac:dyDescent="0.2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1"/>
    </row>
    <row r="393" spans="1:8" x14ac:dyDescent="0.2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1"/>
    </row>
    <row r="394" spans="1:8" x14ac:dyDescent="0.2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1"/>
    </row>
    <row r="395" spans="1:8" x14ac:dyDescent="0.2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1"/>
    </row>
    <row r="396" spans="1:8" x14ac:dyDescent="0.2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1"/>
    </row>
    <row r="397" spans="1:8" x14ac:dyDescent="0.2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1"/>
    </row>
    <row r="398" spans="1:8" x14ac:dyDescent="0.2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1"/>
    </row>
    <row r="399" spans="1:8" x14ac:dyDescent="0.2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1"/>
    </row>
    <row r="400" spans="1:8" x14ac:dyDescent="0.2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1"/>
    </row>
    <row r="401" spans="1:12" x14ac:dyDescent="0.2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1"/>
      <c r="J401"/>
      <c r="K401"/>
    </row>
    <row r="402" spans="1:12" x14ac:dyDescent="0.2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1"/>
    </row>
    <row r="403" spans="1:12" x14ac:dyDescent="0.2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1"/>
      <c r="J403" s="80" t="s">
        <v>3917</v>
      </c>
      <c r="K403" t="s">
        <v>3919</v>
      </c>
      <c r="L403"/>
    </row>
    <row r="404" spans="1:12" x14ac:dyDescent="0.2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1"/>
      <c r="J404" s="82" t="s">
        <v>415</v>
      </c>
      <c r="K404" s="81">
        <v>43.315384615384609</v>
      </c>
      <c r="L404"/>
    </row>
    <row r="405" spans="1:12" x14ac:dyDescent="0.2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1"/>
      <c r="J405" s="82" t="s">
        <v>271</v>
      </c>
      <c r="K405" s="81">
        <v>43.524999999999999</v>
      </c>
      <c r="L405"/>
    </row>
    <row r="406" spans="1:12" x14ac:dyDescent="0.2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1"/>
      <c r="J406" s="82" t="s">
        <v>276</v>
      </c>
      <c r="K406" s="81">
        <v>40.799999999999997</v>
      </c>
      <c r="L406"/>
    </row>
    <row r="407" spans="1:12" x14ac:dyDescent="0.2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1"/>
      <c r="J407" s="82" t="s">
        <v>445</v>
      </c>
      <c r="K407" s="81">
        <v>40.805263157894743</v>
      </c>
      <c r="L407"/>
    </row>
    <row r="408" spans="1:12" x14ac:dyDescent="0.2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1"/>
      <c r="J408" s="82" t="s">
        <v>237</v>
      </c>
      <c r="K408" s="81">
        <v>40.399999999999991</v>
      </c>
      <c r="L408"/>
    </row>
    <row r="409" spans="1:12" x14ac:dyDescent="0.2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1"/>
      <c r="J409" s="82" t="s">
        <v>421</v>
      </c>
      <c r="K409" s="81">
        <v>36.442857142857143</v>
      </c>
      <c r="L409"/>
    </row>
    <row r="410" spans="1:12" x14ac:dyDescent="0.2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1"/>
      <c r="J410" s="82" t="s">
        <v>455</v>
      </c>
      <c r="K410" s="81">
        <v>25.330555555555559</v>
      </c>
      <c r="L410"/>
    </row>
    <row r="411" spans="1:12" x14ac:dyDescent="0.2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1"/>
      <c r="J411" s="82" t="s">
        <v>172</v>
      </c>
      <c r="K411" s="81">
        <v>27.45454545454545</v>
      </c>
      <c r="L411"/>
    </row>
    <row r="412" spans="1:12" x14ac:dyDescent="0.2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1"/>
      <c r="J412" s="82" t="s">
        <v>560</v>
      </c>
      <c r="K412" s="81">
        <v>29.684000000000001</v>
      </c>
      <c r="L412"/>
    </row>
    <row r="413" spans="1:12" x14ac:dyDescent="0.2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1"/>
      <c r="J413" s="82" t="s">
        <v>118</v>
      </c>
      <c r="K413" s="81">
        <v>27.643414634146335</v>
      </c>
      <c r="L413"/>
    </row>
    <row r="414" spans="1:12" x14ac:dyDescent="0.2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1"/>
      <c r="J414" s="82" t="s">
        <v>176</v>
      </c>
      <c r="K414" s="81">
        <v>27.457608695652162</v>
      </c>
      <c r="L414"/>
    </row>
    <row r="415" spans="1:12" x14ac:dyDescent="0.2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1"/>
      <c r="J415" s="82" t="s">
        <v>219</v>
      </c>
      <c r="K415" s="81">
        <v>25.65</v>
      </c>
      <c r="L415"/>
    </row>
    <row r="416" spans="1:12" x14ac:dyDescent="0.2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1"/>
      <c r="J416" s="82" t="s">
        <v>512</v>
      </c>
      <c r="K416" s="81">
        <v>23.7</v>
      </c>
      <c r="L416"/>
    </row>
    <row r="417" spans="1:12" x14ac:dyDescent="0.2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1"/>
      <c r="J417" s="82" t="s">
        <v>631</v>
      </c>
      <c r="K417" s="81">
        <v>20.872727272727278</v>
      </c>
      <c r="L417"/>
    </row>
    <row r="418" spans="1:12" x14ac:dyDescent="0.2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1"/>
      <c r="J418" s="82" t="s">
        <v>112</v>
      </c>
      <c r="K418" s="81">
        <v>20.684615384615388</v>
      </c>
      <c r="L418"/>
    </row>
    <row r="419" spans="1:12" x14ac:dyDescent="0.2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1"/>
      <c r="J419" s="82" t="s">
        <v>124</v>
      </c>
      <c r="K419" s="81">
        <v>26.912865497076041</v>
      </c>
      <c r="L419"/>
    </row>
    <row r="420" spans="1:12" x14ac:dyDescent="0.2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1"/>
      <c r="J420" s="82" t="s">
        <v>167</v>
      </c>
      <c r="K420" s="81">
        <v>22.371887550200796</v>
      </c>
      <c r="L420"/>
    </row>
    <row r="421" spans="1:12" x14ac:dyDescent="0.2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1"/>
      <c r="J421" s="82" t="s">
        <v>834</v>
      </c>
      <c r="K421" s="81">
        <v>32.519999999999996</v>
      </c>
    </row>
    <row r="422" spans="1:12" x14ac:dyDescent="0.2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1"/>
      <c r="J422" s="82" t="s">
        <v>842</v>
      </c>
      <c r="K422" s="81">
        <v>42.7</v>
      </c>
    </row>
    <row r="423" spans="1:12" x14ac:dyDescent="0.2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1"/>
      <c r="J423" s="82" t="s">
        <v>3918</v>
      </c>
      <c r="K423" s="81">
        <v>26.805652759084701</v>
      </c>
    </row>
    <row r="424" spans="1:12" x14ac:dyDescent="0.2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1"/>
    </row>
    <row r="425" spans="1:12" x14ac:dyDescent="0.2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1"/>
    </row>
    <row r="426" spans="1:12" x14ac:dyDescent="0.2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1"/>
    </row>
    <row r="427" spans="1:12" x14ac:dyDescent="0.2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1"/>
    </row>
    <row r="428" spans="1:12" x14ac:dyDescent="0.2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1"/>
    </row>
    <row r="429" spans="1:12" x14ac:dyDescent="0.2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1"/>
    </row>
    <row r="430" spans="1:12" x14ac:dyDescent="0.2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1"/>
    </row>
    <row r="431" spans="1:12" x14ac:dyDescent="0.2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1"/>
    </row>
    <row r="432" spans="1:12" x14ac:dyDescent="0.2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1"/>
    </row>
    <row r="433" spans="1:8" x14ac:dyDescent="0.2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1"/>
    </row>
    <row r="434" spans="1:8" x14ac:dyDescent="0.2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1"/>
    </row>
    <row r="435" spans="1:8" x14ac:dyDescent="0.2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1"/>
    </row>
    <row r="436" spans="1:8" x14ac:dyDescent="0.2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1"/>
    </row>
    <row r="437" spans="1:8" x14ac:dyDescent="0.2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1"/>
    </row>
    <row r="438" spans="1:8" x14ac:dyDescent="0.2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1"/>
    </row>
    <row r="439" spans="1:8" x14ac:dyDescent="0.2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1"/>
    </row>
    <row r="440" spans="1:8" x14ac:dyDescent="0.2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1"/>
    </row>
    <row r="441" spans="1:8" x14ac:dyDescent="0.2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1"/>
    </row>
    <row r="442" spans="1:8" x14ac:dyDescent="0.2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1"/>
    </row>
    <row r="443" spans="1:8" x14ac:dyDescent="0.2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1"/>
    </row>
    <row r="444" spans="1:8" x14ac:dyDescent="0.2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1"/>
    </row>
    <row r="445" spans="1:8" x14ac:dyDescent="0.2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1"/>
    </row>
    <row r="446" spans="1:8" x14ac:dyDescent="0.2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1"/>
    </row>
    <row r="447" spans="1:8" x14ac:dyDescent="0.2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1"/>
    </row>
    <row r="448" spans="1:8" x14ac:dyDescent="0.2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1"/>
    </row>
    <row r="449" spans="1:8" x14ac:dyDescent="0.2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1"/>
    </row>
    <row r="450" spans="1:8" x14ac:dyDescent="0.2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1"/>
    </row>
    <row r="451" spans="1:8" x14ac:dyDescent="0.2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1"/>
    </row>
    <row r="452" spans="1:8" x14ac:dyDescent="0.2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1"/>
    </row>
    <row r="453" spans="1:8" x14ac:dyDescent="0.2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1"/>
    </row>
    <row r="454" spans="1:8" x14ac:dyDescent="0.2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1"/>
    </row>
    <row r="455" spans="1:8" x14ac:dyDescent="0.2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1"/>
    </row>
    <row r="456" spans="1:8" x14ac:dyDescent="0.2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1"/>
    </row>
    <row r="457" spans="1:8" x14ac:dyDescent="0.2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1"/>
    </row>
    <row r="458" spans="1:8" x14ac:dyDescent="0.2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1"/>
    </row>
    <row r="459" spans="1:8" x14ac:dyDescent="0.2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1"/>
    </row>
    <row r="460" spans="1:8" x14ac:dyDescent="0.2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1"/>
    </row>
    <row r="461" spans="1:8" x14ac:dyDescent="0.2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1"/>
    </row>
    <row r="462" spans="1:8" x14ac:dyDescent="0.2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1"/>
    </row>
    <row r="463" spans="1:8" x14ac:dyDescent="0.2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1"/>
    </row>
    <row r="464" spans="1:8" x14ac:dyDescent="0.2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1"/>
    </row>
    <row r="465" spans="1:8" x14ac:dyDescent="0.2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1"/>
    </row>
    <row r="466" spans="1:8" x14ac:dyDescent="0.2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1"/>
    </row>
    <row r="467" spans="1:8" x14ac:dyDescent="0.2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1"/>
    </row>
    <row r="468" spans="1:8" x14ac:dyDescent="0.2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1"/>
    </row>
    <row r="469" spans="1:8" x14ac:dyDescent="0.2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1"/>
    </row>
    <row r="470" spans="1:8" x14ac:dyDescent="0.2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1"/>
    </row>
    <row r="471" spans="1:8" x14ac:dyDescent="0.2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1"/>
    </row>
    <row r="472" spans="1:8" x14ac:dyDescent="0.2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1"/>
    </row>
    <row r="473" spans="1:8" x14ac:dyDescent="0.2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1"/>
    </row>
    <row r="474" spans="1:8" x14ac:dyDescent="0.2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1"/>
    </row>
    <row r="475" spans="1:8" x14ac:dyDescent="0.2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1"/>
    </row>
    <row r="476" spans="1:8" x14ac:dyDescent="0.2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1"/>
    </row>
    <row r="477" spans="1:8" x14ac:dyDescent="0.2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1"/>
    </row>
    <row r="478" spans="1:8" x14ac:dyDescent="0.2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1"/>
    </row>
    <row r="479" spans="1:8" x14ac:dyDescent="0.2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1"/>
    </row>
    <row r="480" spans="1:8" x14ac:dyDescent="0.2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1"/>
    </row>
    <row r="481" spans="1:8" x14ac:dyDescent="0.2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1"/>
    </row>
    <row r="482" spans="1:8" x14ac:dyDescent="0.2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1"/>
    </row>
    <row r="483" spans="1:8" x14ac:dyDescent="0.2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1"/>
    </row>
    <row r="484" spans="1:8" x14ac:dyDescent="0.2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1"/>
    </row>
    <row r="485" spans="1:8" x14ac:dyDescent="0.2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1"/>
    </row>
    <row r="486" spans="1:8" x14ac:dyDescent="0.2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1"/>
    </row>
    <row r="487" spans="1:8" x14ac:dyDescent="0.2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1"/>
    </row>
    <row r="488" spans="1:8" x14ac:dyDescent="0.2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1"/>
    </row>
    <row r="489" spans="1:8" x14ac:dyDescent="0.2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1"/>
    </row>
    <row r="490" spans="1:8" x14ac:dyDescent="0.2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1"/>
    </row>
    <row r="491" spans="1:8" x14ac:dyDescent="0.2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1"/>
    </row>
    <row r="492" spans="1:8" x14ac:dyDescent="0.2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1"/>
    </row>
    <row r="493" spans="1:8" x14ac:dyDescent="0.2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1"/>
    </row>
    <row r="494" spans="1:8" x14ac:dyDescent="0.2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1"/>
    </row>
    <row r="495" spans="1:8" x14ac:dyDescent="0.2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1"/>
    </row>
    <row r="496" spans="1:8" x14ac:dyDescent="0.2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1"/>
    </row>
    <row r="497" spans="1:8" x14ac:dyDescent="0.2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1"/>
    </row>
    <row r="498" spans="1:8" x14ac:dyDescent="0.2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1"/>
    </row>
    <row r="499" spans="1:8" x14ac:dyDescent="0.2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1"/>
    </row>
    <row r="500" spans="1:8" x14ac:dyDescent="0.2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1"/>
    </row>
    <row r="501" spans="1:8" x14ac:dyDescent="0.2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1"/>
    </row>
    <row r="502" spans="1:8" x14ac:dyDescent="0.2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1"/>
    </row>
    <row r="503" spans="1:8" x14ac:dyDescent="0.2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1"/>
    </row>
    <row r="504" spans="1:8" x14ac:dyDescent="0.2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1"/>
    </row>
    <row r="505" spans="1:8" x14ac:dyDescent="0.2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1"/>
    </row>
    <row r="506" spans="1:8" x14ac:dyDescent="0.2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1"/>
    </row>
    <row r="507" spans="1:8" x14ac:dyDescent="0.2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1"/>
    </row>
    <row r="508" spans="1:8" x14ac:dyDescent="0.2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1"/>
    </row>
    <row r="509" spans="1:8" x14ac:dyDescent="0.2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1"/>
    </row>
    <row r="510" spans="1:8" x14ac:dyDescent="0.2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1"/>
    </row>
    <row r="511" spans="1:8" x14ac:dyDescent="0.2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1"/>
    </row>
    <row r="512" spans="1:8" x14ac:dyDescent="0.2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1"/>
    </row>
    <row r="513" spans="1:8" x14ac:dyDescent="0.2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1"/>
    </row>
    <row r="514" spans="1:8" x14ac:dyDescent="0.2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1"/>
    </row>
    <row r="515" spans="1:8" x14ac:dyDescent="0.2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1"/>
    </row>
    <row r="516" spans="1:8" x14ac:dyDescent="0.2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1"/>
    </row>
    <row r="517" spans="1:8" x14ac:dyDescent="0.2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1"/>
    </row>
    <row r="518" spans="1:8" x14ac:dyDescent="0.2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1"/>
    </row>
    <row r="519" spans="1:8" x14ac:dyDescent="0.2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1"/>
    </row>
    <row r="520" spans="1:8" x14ac:dyDescent="0.2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1"/>
    </row>
    <row r="521" spans="1:8" x14ac:dyDescent="0.2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1"/>
    </row>
    <row r="522" spans="1:8" x14ac:dyDescent="0.2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1"/>
    </row>
    <row r="523" spans="1:8" x14ac:dyDescent="0.2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1"/>
    </row>
    <row r="524" spans="1:8" x14ac:dyDescent="0.2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1"/>
    </row>
    <row r="525" spans="1:8" x14ac:dyDescent="0.2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1"/>
    </row>
    <row r="526" spans="1:8" x14ac:dyDescent="0.2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1"/>
    </row>
    <row r="527" spans="1:8" x14ac:dyDescent="0.2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1"/>
    </row>
    <row r="528" spans="1:8" x14ac:dyDescent="0.2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1"/>
    </row>
    <row r="529" spans="1:8" x14ac:dyDescent="0.2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1"/>
    </row>
    <row r="530" spans="1:8" x14ac:dyDescent="0.2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1"/>
    </row>
    <row r="531" spans="1:8" x14ac:dyDescent="0.2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1"/>
    </row>
    <row r="532" spans="1:8" x14ac:dyDescent="0.2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1"/>
    </row>
    <row r="533" spans="1:8" x14ac:dyDescent="0.2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1"/>
    </row>
    <row r="534" spans="1:8" x14ac:dyDescent="0.2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1"/>
    </row>
    <row r="535" spans="1:8" x14ac:dyDescent="0.2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1"/>
    </row>
    <row r="536" spans="1:8" x14ac:dyDescent="0.2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1"/>
    </row>
    <row r="537" spans="1:8" x14ac:dyDescent="0.2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1"/>
    </row>
    <row r="538" spans="1:8" x14ac:dyDescent="0.2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1"/>
    </row>
    <row r="539" spans="1:8" x14ac:dyDescent="0.2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1"/>
    </row>
    <row r="540" spans="1:8" x14ac:dyDescent="0.2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1"/>
    </row>
    <row r="541" spans="1:8" x14ac:dyDescent="0.2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1"/>
    </row>
    <row r="542" spans="1:8" x14ac:dyDescent="0.2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1"/>
    </row>
    <row r="543" spans="1:8" x14ac:dyDescent="0.2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1"/>
    </row>
    <row r="544" spans="1:8" x14ac:dyDescent="0.2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1"/>
    </row>
    <row r="545" spans="1:8" x14ac:dyDescent="0.2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1"/>
    </row>
    <row r="546" spans="1:8" x14ac:dyDescent="0.2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1"/>
    </row>
    <row r="547" spans="1:8" x14ac:dyDescent="0.2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1"/>
    </row>
    <row r="548" spans="1:8" x14ac:dyDescent="0.2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1"/>
    </row>
    <row r="549" spans="1:8" x14ac:dyDescent="0.2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1"/>
    </row>
    <row r="550" spans="1:8" x14ac:dyDescent="0.2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1"/>
    </row>
    <row r="551" spans="1:8" x14ac:dyDescent="0.2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1"/>
    </row>
    <row r="552" spans="1:8" x14ac:dyDescent="0.2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1"/>
    </row>
    <row r="553" spans="1:8" x14ac:dyDescent="0.2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1"/>
    </row>
    <row r="554" spans="1:8" x14ac:dyDescent="0.2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1"/>
    </row>
    <row r="555" spans="1:8" x14ac:dyDescent="0.2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1"/>
    </row>
    <row r="556" spans="1:8" x14ac:dyDescent="0.2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1"/>
    </row>
    <row r="557" spans="1:8" x14ac:dyDescent="0.2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1"/>
    </row>
    <row r="558" spans="1:8" x14ac:dyDescent="0.2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1"/>
    </row>
    <row r="559" spans="1:8" x14ac:dyDescent="0.2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1"/>
    </row>
    <row r="560" spans="1:8" x14ac:dyDescent="0.2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1"/>
    </row>
    <row r="561" spans="1:8" x14ac:dyDescent="0.2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1"/>
    </row>
    <row r="562" spans="1:8" x14ac:dyDescent="0.2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1"/>
    </row>
    <row r="563" spans="1:8" x14ac:dyDescent="0.2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1"/>
    </row>
    <row r="564" spans="1:8" x14ac:dyDescent="0.2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1"/>
    </row>
    <row r="565" spans="1:8" x14ac:dyDescent="0.2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1"/>
    </row>
    <row r="566" spans="1:8" x14ac:dyDescent="0.2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1"/>
    </row>
    <row r="567" spans="1:8" x14ac:dyDescent="0.2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1"/>
    </row>
    <row r="568" spans="1:8" x14ac:dyDescent="0.2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1"/>
    </row>
    <row r="569" spans="1:8" x14ac:dyDescent="0.2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1"/>
    </row>
    <row r="570" spans="1:8" x14ac:dyDescent="0.2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1"/>
    </row>
    <row r="571" spans="1:8" x14ac:dyDescent="0.2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1"/>
    </row>
    <row r="572" spans="1:8" x14ac:dyDescent="0.2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1"/>
    </row>
    <row r="573" spans="1:8" x14ac:dyDescent="0.2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1"/>
    </row>
    <row r="574" spans="1:8" x14ac:dyDescent="0.2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1"/>
    </row>
    <row r="575" spans="1:8" x14ac:dyDescent="0.2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1"/>
    </row>
    <row r="576" spans="1:8" x14ac:dyDescent="0.2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1"/>
    </row>
    <row r="577" spans="1:8" x14ac:dyDescent="0.2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1"/>
    </row>
    <row r="578" spans="1:8" x14ac:dyDescent="0.2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1"/>
    </row>
    <row r="579" spans="1:8" x14ac:dyDescent="0.2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1"/>
    </row>
    <row r="580" spans="1:8" x14ac:dyDescent="0.2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1"/>
    </row>
    <row r="581" spans="1:8" x14ac:dyDescent="0.2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1"/>
    </row>
    <row r="582" spans="1:8" x14ac:dyDescent="0.2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1"/>
    </row>
    <row r="583" spans="1:8" x14ac:dyDescent="0.2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1"/>
    </row>
    <row r="584" spans="1:8" x14ac:dyDescent="0.2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1"/>
    </row>
    <row r="585" spans="1:8" x14ac:dyDescent="0.2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1"/>
    </row>
    <row r="586" spans="1:8" x14ac:dyDescent="0.2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1"/>
    </row>
    <row r="587" spans="1:8" x14ac:dyDescent="0.2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1"/>
    </row>
    <row r="588" spans="1:8" x14ac:dyDescent="0.2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1"/>
    </row>
    <row r="589" spans="1:8" x14ac:dyDescent="0.2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1"/>
    </row>
    <row r="590" spans="1:8" x14ac:dyDescent="0.2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1"/>
    </row>
    <row r="591" spans="1:8" x14ac:dyDescent="0.2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1"/>
    </row>
    <row r="592" spans="1:8" x14ac:dyDescent="0.2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1"/>
    </row>
    <row r="593" spans="1:8" x14ac:dyDescent="0.2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1"/>
    </row>
    <row r="594" spans="1:8" x14ac:dyDescent="0.2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1"/>
    </row>
    <row r="595" spans="1:8" x14ac:dyDescent="0.2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1"/>
    </row>
    <row r="596" spans="1:8" x14ac:dyDescent="0.2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1"/>
    </row>
    <row r="597" spans="1:8" x14ac:dyDescent="0.2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1"/>
    </row>
    <row r="598" spans="1:8" x14ac:dyDescent="0.2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1"/>
    </row>
    <row r="599" spans="1:8" x14ac:dyDescent="0.2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1"/>
    </row>
    <row r="600" spans="1:8" x14ac:dyDescent="0.2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1"/>
    </row>
    <row r="601" spans="1:8" x14ac:dyDescent="0.2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1"/>
    </row>
    <row r="602" spans="1:8" x14ac:dyDescent="0.2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1"/>
    </row>
    <row r="603" spans="1:8" x14ac:dyDescent="0.2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1"/>
    </row>
    <row r="604" spans="1:8" x14ac:dyDescent="0.2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1"/>
    </row>
    <row r="605" spans="1:8" x14ac:dyDescent="0.2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1"/>
    </row>
    <row r="606" spans="1:8" x14ac:dyDescent="0.2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1"/>
    </row>
    <row r="607" spans="1:8" x14ac:dyDescent="0.2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1"/>
    </row>
    <row r="608" spans="1:8" x14ac:dyDescent="0.2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1"/>
    </row>
    <row r="609" spans="1:8" x14ac:dyDescent="0.2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1"/>
    </row>
    <row r="610" spans="1:8" x14ac:dyDescent="0.2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1"/>
    </row>
    <row r="611" spans="1:8" x14ac:dyDescent="0.2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1"/>
    </row>
    <row r="612" spans="1:8" x14ac:dyDescent="0.2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1"/>
    </row>
    <row r="613" spans="1:8" x14ac:dyDescent="0.2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1"/>
    </row>
    <row r="614" spans="1:8" x14ac:dyDescent="0.2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1"/>
    </row>
    <row r="615" spans="1:8" x14ac:dyDescent="0.2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1"/>
    </row>
    <row r="616" spans="1:8" x14ac:dyDescent="0.2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1"/>
    </row>
    <row r="617" spans="1:8" x14ac:dyDescent="0.2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1"/>
    </row>
    <row r="618" spans="1:8" x14ac:dyDescent="0.2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1"/>
    </row>
    <row r="619" spans="1:8" x14ac:dyDescent="0.2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1"/>
    </row>
    <row r="620" spans="1:8" x14ac:dyDescent="0.2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1"/>
    </row>
    <row r="621" spans="1:8" x14ac:dyDescent="0.2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1"/>
    </row>
    <row r="622" spans="1:8" x14ac:dyDescent="0.2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1"/>
    </row>
    <row r="623" spans="1:8" x14ac:dyDescent="0.2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1"/>
    </row>
    <row r="624" spans="1:8" x14ac:dyDescent="0.2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1"/>
    </row>
    <row r="625" spans="1:8" x14ac:dyDescent="0.2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1"/>
    </row>
    <row r="626" spans="1:8" x14ac:dyDescent="0.2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1"/>
    </row>
    <row r="627" spans="1:8" x14ac:dyDescent="0.2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1"/>
    </row>
    <row r="628" spans="1:8" x14ac:dyDescent="0.2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1"/>
    </row>
    <row r="629" spans="1:8" x14ac:dyDescent="0.2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1"/>
    </row>
    <row r="630" spans="1:8" x14ac:dyDescent="0.2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1"/>
    </row>
    <row r="631" spans="1:8" x14ac:dyDescent="0.2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1"/>
    </row>
    <row r="632" spans="1:8" x14ac:dyDescent="0.2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1"/>
    </row>
    <row r="633" spans="1:8" x14ac:dyDescent="0.2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1"/>
    </row>
    <row r="634" spans="1:8" x14ac:dyDescent="0.2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1"/>
    </row>
    <row r="635" spans="1:8" x14ac:dyDescent="0.2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1"/>
    </row>
    <row r="636" spans="1:8" x14ac:dyDescent="0.2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1"/>
    </row>
    <row r="637" spans="1:8" x14ac:dyDescent="0.2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1"/>
    </row>
    <row r="638" spans="1:8" x14ac:dyDescent="0.2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1"/>
    </row>
    <row r="639" spans="1:8" x14ac:dyDescent="0.2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1"/>
    </row>
    <row r="640" spans="1:8" x14ac:dyDescent="0.2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1"/>
    </row>
    <row r="641" spans="1:8" x14ac:dyDescent="0.2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1"/>
    </row>
    <row r="642" spans="1:8" x14ac:dyDescent="0.2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1"/>
    </row>
    <row r="643" spans="1:8" x14ac:dyDescent="0.2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1"/>
    </row>
    <row r="644" spans="1:8" x14ac:dyDescent="0.2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1"/>
    </row>
    <row r="645" spans="1:8" x14ac:dyDescent="0.2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1"/>
    </row>
    <row r="646" spans="1:8" x14ac:dyDescent="0.2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1"/>
    </row>
    <row r="647" spans="1:8" x14ac:dyDescent="0.2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1"/>
    </row>
    <row r="648" spans="1:8" x14ac:dyDescent="0.2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1"/>
    </row>
    <row r="649" spans="1:8" x14ac:dyDescent="0.2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1"/>
    </row>
    <row r="650" spans="1:8" x14ac:dyDescent="0.2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1"/>
    </row>
    <row r="651" spans="1:8" x14ac:dyDescent="0.2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1"/>
    </row>
    <row r="652" spans="1:8" x14ac:dyDescent="0.2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1"/>
    </row>
    <row r="653" spans="1:8" x14ac:dyDescent="0.2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1"/>
    </row>
    <row r="654" spans="1:8" x14ac:dyDescent="0.2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1"/>
    </row>
    <row r="655" spans="1:8" x14ac:dyDescent="0.2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1"/>
    </row>
    <row r="656" spans="1:8" x14ac:dyDescent="0.2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1"/>
    </row>
    <row r="657" spans="1:8" x14ac:dyDescent="0.2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1"/>
    </row>
    <row r="658" spans="1:8" x14ac:dyDescent="0.2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1"/>
    </row>
    <row r="659" spans="1:8" x14ac:dyDescent="0.2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1"/>
    </row>
    <row r="660" spans="1:8" x14ac:dyDescent="0.2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1"/>
    </row>
    <row r="661" spans="1:8" x14ac:dyDescent="0.2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1"/>
    </row>
    <row r="662" spans="1:8" x14ac:dyDescent="0.2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1"/>
    </row>
    <row r="663" spans="1:8" x14ac:dyDescent="0.2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1"/>
    </row>
    <row r="664" spans="1:8" x14ac:dyDescent="0.2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1"/>
    </row>
    <row r="665" spans="1:8" x14ac:dyDescent="0.2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1"/>
    </row>
    <row r="666" spans="1:8" x14ac:dyDescent="0.2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1"/>
    </row>
    <row r="667" spans="1:8" x14ac:dyDescent="0.2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1"/>
    </row>
    <row r="668" spans="1:8" x14ac:dyDescent="0.2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1"/>
    </row>
    <row r="669" spans="1:8" x14ac:dyDescent="0.2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1"/>
    </row>
    <row r="670" spans="1:8" x14ac:dyDescent="0.2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1"/>
    </row>
    <row r="671" spans="1:8" x14ac:dyDescent="0.2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1"/>
    </row>
    <row r="672" spans="1:8" x14ac:dyDescent="0.2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1"/>
    </row>
    <row r="673" spans="1:8" x14ac:dyDescent="0.2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1"/>
    </row>
    <row r="674" spans="1:8" x14ac:dyDescent="0.2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1"/>
    </row>
    <row r="675" spans="1:8" x14ac:dyDescent="0.2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1"/>
    </row>
    <row r="676" spans="1:8" x14ac:dyDescent="0.2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1"/>
    </row>
    <row r="677" spans="1:8" x14ac:dyDescent="0.2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1"/>
    </row>
    <row r="678" spans="1:8" x14ac:dyDescent="0.2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1"/>
    </row>
    <row r="679" spans="1:8" x14ac:dyDescent="0.2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1"/>
    </row>
    <row r="680" spans="1:8" x14ac:dyDescent="0.2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1"/>
    </row>
    <row r="681" spans="1:8" x14ac:dyDescent="0.2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1"/>
    </row>
    <row r="682" spans="1:8" x14ac:dyDescent="0.2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1"/>
    </row>
    <row r="683" spans="1:8" x14ac:dyDescent="0.2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1"/>
    </row>
    <row r="684" spans="1:8" x14ac:dyDescent="0.2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1"/>
    </row>
    <row r="685" spans="1:8" x14ac:dyDescent="0.2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1"/>
    </row>
    <row r="686" spans="1:8" x14ac:dyDescent="0.2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1"/>
    </row>
    <row r="687" spans="1:8" x14ac:dyDescent="0.2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1"/>
    </row>
    <row r="688" spans="1:8" x14ac:dyDescent="0.2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1"/>
    </row>
    <row r="689" spans="1:8" x14ac:dyDescent="0.2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1"/>
    </row>
    <row r="690" spans="1:8" x14ac:dyDescent="0.2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1"/>
    </row>
    <row r="691" spans="1:8" x14ac:dyDescent="0.2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1"/>
    </row>
    <row r="692" spans="1:8" x14ac:dyDescent="0.2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1"/>
    </row>
    <row r="693" spans="1:8" x14ac:dyDescent="0.2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1"/>
    </row>
    <row r="694" spans="1:8" x14ac:dyDescent="0.2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1"/>
    </row>
    <row r="695" spans="1:8" x14ac:dyDescent="0.2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1"/>
    </row>
    <row r="696" spans="1:8" x14ac:dyDescent="0.2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1"/>
    </row>
    <row r="697" spans="1:8" x14ac:dyDescent="0.2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1"/>
    </row>
    <row r="698" spans="1:8" x14ac:dyDescent="0.2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1"/>
    </row>
    <row r="699" spans="1:8" x14ac:dyDescent="0.2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1"/>
    </row>
    <row r="700" spans="1:8" x14ac:dyDescent="0.2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1"/>
    </row>
    <row r="701" spans="1:8" x14ac:dyDescent="0.2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1"/>
    </row>
    <row r="702" spans="1:8" x14ac:dyDescent="0.2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1"/>
    </row>
    <row r="703" spans="1:8" x14ac:dyDescent="0.2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1"/>
    </row>
    <row r="704" spans="1:8" x14ac:dyDescent="0.2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1"/>
    </row>
    <row r="705" spans="1:8" x14ac:dyDescent="0.2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1"/>
    </row>
    <row r="706" spans="1:8" x14ac:dyDescent="0.2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1"/>
    </row>
    <row r="707" spans="1:8" x14ac:dyDescent="0.2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1"/>
    </row>
    <row r="708" spans="1:8" x14ac:dyDescent="0.2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1"/>
    </row>
    <row r="709" spans="1:8" x14ac:dyDescent="0.2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1"/>
    </row>
    <row r="710" spans="1:8" x14ac:dyDescent="0.2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1"/>
    </row>
    <row r="711" spans="1:8" x14ac:dyDescent="0.2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1"/>
    </row>
    <row r="712" spans="1:8" x14ac:dyDescent="0.2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1"/>
    </row>
    <row r="713" spans="1:8" x14ac:dyDescent="0.2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1"/>
    </row>
    <row r="714" spans="1:8" x14ac:dyDescent="0.2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1"/>
    </row>
    <row r="715" spans="1:8" x14ac:dyDescent="0.2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1"/>
    </row>
    <row r="716" spans="1:8" x14ac:dyDescent="0.2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1"/>
    </row>
    <row r="717" spans="1:8" x14ac:dyDescent="0.2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1"/>
    </row>
    <row r="718" spans="1:8" x14ac:dyDescent="0.2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1"/>
    </row>
    <row r="719" spans="1:8" x14ac:dyDescent="0.2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1"/>
    </row>
    <row r="720" spans="1:8" x14ac:dyDescent="0.2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1"/>
    </row>
    <row r="721" spans="1:8" x14ac:dyDescent="0.2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1"/>
    </row>
    <row r="722" spans="1:8" x14ac:dyDescent="0.2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1"/>
    </row>
    <row r="723" spans="1:8" x14ac:dyDescent="0.2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1"/>
    </row>
    <row r="724" spans="1:8" x14ac:dyDescent="0.2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1"/>
    </row>
    <row r="725" spans="1:8" x14ac:dyDescent="0.2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1"/>
    </row>
    <row r="726" spans="1:8" x14ac:dyDescent="0.2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1"/>
    </row>
    <row r="727" spans="1:8" x14ac:dyDescent="0.2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1"/>
    </row>
    <row r="728" spans="1:8" x14ac:dyDescent="0.2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1"/>
    </row>
    <row r="729" spans="1:8" x14ac:dyDescent="0.2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1"/>
    </row>
    <row r="730" spans="1:8" x14ac:dyDescent="0.2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1"/>
    </row>
    <row r="731" spans="1:8" x14ac:dyDescent="0.2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1"/>
    </row>
    <row r="732" spans="1:8" x14ac:dyDescent="0.2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1"/>
    </row>
    <row r="733" spans="1:8" x14ac:dyDescent="0.2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1"/>
    </row>
    <row r="734" spans="1:8" x14ac:dyDescent="0.2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1"/>
    </row>
    <row r="735" spans="1:8" x14ac:dyDescent="0.2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1"/>
    </row>
    <row r="736" spans="1:8" x14ac:dyDescent="0.2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1"/>
    </row>
    <row r="737" spans="1:8" x14ac:dyDescent="0.2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1"/>
    </row>
    <row r="738" spans="1:8" x14ac:dyDescent="0.2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1"/>
    </row>
    <row r="739" spans="1:8" x14ac:dyDescent="0.2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1"/>
    </row>
    <row r="740" spans="1:8" x14ac:dyDescent="0.2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1"/>
    </row>
    <row r="741" spans="1:8" x14ac:dyDescent="0.2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1"/>
    </row>
    <row r="742" spans="1:8" x14ac:dyDescent="0.2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1"/>
    </row>
    <row r="743" spans="1:8" x14ac:dyDescent="0.2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1"/>
    </row>
    <row r="744" spans="1:8" x14ac:dyDescent="0.2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1"/>
    </row>
    <row r="745" spans="1:8" x14ac:dyDescent="0.2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1"/>
    </row>
    <row r="746" spans="1:8" x14ac:dyDescent="0.2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1"/>
    </row>
    <row r="747" spans="1:8" x14ac:dyDescent="0.2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1"/>
    </row>
    <row r="748" spans="1:8" x14ac:dyDescent="0.2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1"/>
    </row>
    <row r="749" spans="1:8" x14ac:dyDescent="0.2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1"/>
    </row>
    <row r="750" spans="1:8" x14ac:dyDescent="0.2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1"/>
    </row>
    <row r="751" spans="1:8" x14ac:dyDescent="0.2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1"/>
    </row>
    <row r="752" spans="1:8" x14ac:dyDescent="0.2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1"/>
    </row>
    <row r="753" spans="1:8" x14ac:dyDescent="0.2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1"/>
    </row>
    <row r="754" spans="1:8" x14ac:dyDescent="0.2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1"/>
    </row>
    <row r="755" spans="1:8" x14ac:dyDescent="0.2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1"/>
    </row>
    <row r="756" spans="1:8" x14ac:dyDescent="0.2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1"/>
    </row>
    <row r="757" spans="1:8" x14ac:dyDescent="0.2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1"/>
    </row>
    <row r="758" spans="1:8" x14ac:dyDescent="0.2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1"/>
    </row>
    <row r="759" spans="1:8" x14ac:dyDescent="0.2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1"/>
    </row>
    <row r="760" spans="1:8" x14ac:dyDescent="0.2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1"/>
    </row>
    <row r="761" spans="1:8" x14ac:dyDescent="0.2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1"/>
    </row>
    <row r="762" spans="1:8" x14ac:dyDescent="0.2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1"/>
    </row>
    <row r="763" spans="1:8" x14ac:dyDescent="0.2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1"/>
    </row>
    <row r="764" spans="1:8" x14ac:dyDescent="0.2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1"/>
    </row>
    <row r="765" spans="1:8" x14ac:dyDescent="0.2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1"/>
    </row>
    <row r="766" spans="1:8" x14ac:dyDescent="0.2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1"/>
    </row>
    <row r="767" spans="1:8" x14ac:dyDescent="0.2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1"/>
    </row>
    <row r="768" spans="1:8" x14ac:dyDescent="0.2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1"/>
    </row>
    <row r="769" spans="1:8" x14ac:dyDescent="0.2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1"/>
    </row>
    <row r="770" spans="1:8" x14ac:dyDescent="0.2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1"/>
    </row>
    <row r="771" spans="1:8" x14ac:dyDescent="0.2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1"/>
    </row>
    <row r="772" spans="1:8" x14ac:dyDescent="0.2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1"/>
    </row>
    <row r="773" spans="1:8" x14ac:dyDescent="0.2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1"/>
    </row>
    <row r="774" spans="1:8" x14ac:dyDescent="0.2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1"/>
    </row>
    <row r="775" spans="1:8" x14ac:dyDescent="0.2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1"/>
    </row>
    <row r="776" spans="1:8" x14ac:dyDescent="0.2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1"/>
    </row>
    <row r="777" spans="1:8" x14ac:dyDescent="0.2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1"/>
    </row>
    <row r="778" spans="1:8" x14ac:dyDescent="0.2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1"/>
    </row>
    <row r="779" spans="1:8" x14ac:dyDescent="0.2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1"/>
    </row>
    <row r="780" spans="1:8" x14ac:dyDescent="0.2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1"/>
    </row>
    <row r="781" spans="1:8" x14ac:dyDescent="0.2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1"/>
    </row>
    <row r="782" spans="1:8" x14ac:dyDescent="0.2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1"/>
    </row>
    <row r="783" spans="1:8" x14ac:dyDescent="0.2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1"/>
    </row>
    <row r="784" spans="1:8" x14ac:dyDescent="0.2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1"/>
    </row>
    <row r="785" spans="1:8" x14ac:dyDescent="0.2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1"/>
    </row>
    <row r="786" spans="1:8" x14ac:dyDescent="0.2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1"/>
    </row>
    <row r="787" spans="1:8" x14ac:dyDescent="0.2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1"/>
    </row>
    <row r="788" spans="1:8" x14ac:dyDescent="0.2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1"/>
    </row>
    <row r="789" spans="1:8" x14ac:dyDescent="0.2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1"/>
    </row>
    <row r="790" spans="1:8" x14ac:dyDescent="0.2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1"/>
    </row>
    <row r="791" spans="1:8" x14ac:dyDescent="0.2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1"/>
    </row>
    <row r="792" spans="1:8" x14ac:dyDescent="0.2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1"/>
    </row>
    <row r="793" spans="1:8" x14ac:dyDescent="0.2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1"/>
    </row>
    <row r="794" spans="1:8" x14ac:dyDescent="0.2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1"/>
    </row>
    <row r="795" spans="1:8" x14ac:dyDescent="0.2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1"/>
    </row>
    <row r="796" spans="1:8" x14ac:dyDescent="0.2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1"/>
    </row>
    <row r="797" spans="1:8" x14ac:dyDescent="0.2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1"/>
    </row>
    <row r="798" spans="1:8" x14ac:dyDescent="0.2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1"/>
    </row>
    <row r="799" spans="1:8" x14ac:dyDescent="0.2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1"/>
    </row>
    <row r="800" spans="1:8" x14ac:dyDescent="0.2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1"/>
    </row>
    <row r="801" spans="1:8" x14ac:dyDescent="0.2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1"/>
    </row>
    <row r="802" spans="1:8" x14ac:dyDescent="0.2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1"/>
    </row>
    <row r="803" spans="1:8" x14ac:dyDescent="0.2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1"/>
    </row>
    <row r="804" spans="1:8" x14ac:dyDescent="0.2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1"/>
    </row>
    <row r="805" spans="1:8" x14ac:dyDescent="0.2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1"/>
    </row>
    <row r="806" spans="1:8" x14ac:dyDescent="0.2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1"/>
    </row>
    <row r="807" spans="1:8" x14ac:dyDescent="0.2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1"/>
    </row>
    <row r="808" spans="1:8" x14ac:dyDescent="0.2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1"/>
    </row>
    <row r="809" spans="1:8" x14ac:dyDescent="0.2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1"/>
    </row>
    <row r="810" spans="1:8" x14ac:dyDescent="0.2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1"/>
    </row>
    <row r="811" spans="1:8" x14ac:dyDescent="0.2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1"/>
    </row>
    <row r="812" spans="1:8" x14ac:dyDescent="0.2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1"/>
    </row>
    <row r="813" spans="1:8" x14ac:dyDescent="0.2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1"/>
    </row>
    <row r="814" spans="1:8" x14ac:dyDescent="0.2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1"/>
    </row>
    <row r="815" spans="1:8" x14ac:dyDescent="0.2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1"/>
    </row>
    <row r="816" spans="1:8" x14ac:dyDescent="0.2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1"/>
    </row>
    <row r="817" spans="1:8" x14ac:dyDescent="0.2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1"/>
    </row>
    <row r="818" spans="1:8" x14ac:dyDescent="0.2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1"/>
    </row>
    <row r="819" spans="1:8" x14ac:dyDescent="0.2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1"/>
    </row>
    <row r="820" spans="1:8" x14ac:dyDescent="0.2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1"/>
    </row>
    <row r="821" spans="1:8" x14ac:dyDescent="0.2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1"/>
    </row>
    <row r="822" spans="1:8" x14ac:dyDescent="0.2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1"/>
    </row>
    <row r="823" spans="1:8" x14ac:dyDescent="0.2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1"/>
    </row>
    <row r="824" spans="1:8" x14ac:dyDescent="0.2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1"/>
    </row>
    <row r="825" spans="1:8" x14ac:dyDescent="0.2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1"/>
    </row>
    <row r="826" spans="1:8" x14ac:dyDescent="0.2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1"/>
    </row>
    <row r="827" spans="1:8" x14ac:dyDescent="0.2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1"/>
    </row>
    <row r="828" spans="1:8" x14ac:dyDescent="0.2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1"/>
    </row>
    <row r="829" spans="1:8" x14ac:dyDescent="0.2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1"/>
    </row>
    <row r="830" spans="1:8" x14ac:dyDescent="0.2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1"/>
    </row>
    <row r="831" spans="1:8" x14ac:dyDescent="0.2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1"/>
    </row>
    <row r="832" spans="1:8" x14ac:dyDescent="0.2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1"/>
    </row>
    <row r="833" spans="1:8" x14ac:dyDescent="0.2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1"/>
    </row>
    <row r="834" spans="1:8" x14ac:dyDescent="0.2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1"/>
    </row>
    <row r="835" spans="1:8" x14ac:dyDescent="0.2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1"/>
    </row>
    <row r="836" spans="1:8" x14ac:dyDescent="0.2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1"/>
    </row>
    <row r="837" spans="1:8" x14ac:dyDescent="0.2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1"/>
    </row>
    <row r="838" spans="1:8" x14ac:dyDescent="0.2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1"/>
    </row>
    <row r="839" spans="1:8" x14ac:dyDescent="0.2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1"/>
    </row>
    <row r="840" spans="1:8" x14ac:dyDescent="0.2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1"/>
    </row>
    <row r="841" spans="1:8" x14ac:dyDescent="0.2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1"/>
    </row>
    <row r="842" spans="1:8" x14ac:dyDescent="0.2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1"/>
    </row>
    <row r="843" spans="1:8" x14ac:dyDescent="0.2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1"/>
    </row>
    <row r="844" spans="1:8" x14ac:dyDescent="0.2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1"/>
    </row>
    <row r="845" spans="1:8" x14ac:dyDescent="0.2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1"/>
    </row>
    <row r="846" spans="1:8" x14ac:dyDescent="0.2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1"/>
    </row>
    <row r="847" spans="1:8" x14ac:dyDescent="0.2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1"/>
    </row>
    <row r="848" spans="1:8" x14ac:dyDescent="0.2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1"/>
    </row>
    <row r="849" spans="1:8" x14ac:dyDescent="0.2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1"/>
    </row>
    <row r="850" spans="1:8" x14ac:dyDescent="0.2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1"/>
    </row>
    <row r="851" spans="1:8" x14ac:dyDescent="0.2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1"/>
    </row>
    <row r="852" spans="1:8" x14ac:dyDescent="0.2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1"/>
    </row>
    <row r="853" spans="1:8" x14ac:dyDescent="0.2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1"/>
    </row>
    <row r="854" spans="1:8" x14ac:dyDescent="0.2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1"/>
    </row>
    <row r="855" spans="1:8" x14ac:dyDescent="0.2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1"/>
    </row>
    <row r="856" spans="1:8" x14ac:dyDescent="0.2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1"/>
    </row>
    <row r="857" spans="1:8" x14ac:dyDescent="0.2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1"/>
    </row>
    <row r="858" spans="1:8" x14ac:dyDescent="0.2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1"/>
    </row>
    <row r="859" spans="1:8" x14ac:dyDescent="0.2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1"/>
    </row>
    <row r="860" spans="1:8" x14ac:dyDescent="0.2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1"/>
    </row>
    <row r="861" spans="1:8" x14ac:dyDescent="0.2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1"/>
    </row>
    <row r="862" spans="1:8" x14ac:dyDescent="0.2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1"/>
    </row>
    <row r="863" spans="1:8" x14ac:dyDescent="0.2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1"/>
    </row>
    <row r="864" spans="1:8" x14ac:dyDescent="0.2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1"/>
    </row>
    <row r="865" spans="1:8" x14ac:dyDescent="0.2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1"/>
    </row>
    <row r="866" spans="1:8" x14ac:dyDescent="0.2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1"/>
    </row>
    <row r="867" spans="1:8" x14ac:dyDescent="0.2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1"/>
    </row>
    <row r="868" spans="1:8" x14ac:dyDescent="0.2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1"/>
    </row>
    <row r="869" spans="1:8" x14ac:dyDescent="0.2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1"/>
    </row>
    <row r="870" spans="1:8" x14ac:dyDescent="0.2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1"/>
    </row>
    <row r="871" spans="1:8" x14ac:dyDescent="0.2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1"/>
    </row>
    <row r="872" spans="1:8" x14ac:dyDescent="0.2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1"/>
    </row>
    <row r="873" spans="1:8" x14ac:dyDescent="0.2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1"/>
    </row>
    <row r="874" spans="1:8" x14ac:dyDescent="0.2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1"/>
    </row>
    <row r="875" spans="1:8" x14ac:dyDescent="0.2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1"/>
    </row>
    <row r="876" spans="1:8" x14ac:dyDescent="0.2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1"/>
    </row>
    <row r="877" spans="1:8" x14ac:dyDescent="0.2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1"/>
    </row>
    <row r="878" spans="1:8" x14ac:dyDescent="0.2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1"/>
    </row>
    <row r="879" spans="1:8" x14ac:dyDescent="0.2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1"/>
    </row>
    <row r="880" spans="1:8" x14ac:dyDescent="0.2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1"/>
    </row>
    <row r="881" spans="1:8" x14ac:dyDescent="0.2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1"/>
    </row>
    <row r="882" spans="1:8" x14ac:dyDescent="0.2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1"/>
    </row>
    <row r="883" spans="1:8" x14ac:dyDescent="0.2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1"/>
    </row>
    <row r="884" spans="1:8" x14ac:dyDescent="0.2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1"/>
    </row>
    <row r="885" spans="1:8" x14ac:dyDescent="0.2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1"/>
    </row>
    <row r="886" spans="1:8" x14ac:dyDescent="0.2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1"/>
    </row>
    <row r="887" spans="1:8" x14ac:dyDescent="0.2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1"/>
    </row>
    <row r="888" spans="1:8" x14ac:dyDescent="0.2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1"/>
    </row>
    <row r="889" spans="1:8" x14ac:dyDescent="0.2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1"/>
    </row>
    <row r="890" spans="1:8" x14ac:dyDescent="0.2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1"/>
    </row>
    <row r="891" spans="1:8" x14ac:dyDescent="0.2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1"/>
    </row>
    <row r="892" spans="1:8" x14ac:dyDescent="0.2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1"/>
    </row>
    <row r="893" spans="1:8" x14ac:dyDescent="0.2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1"/>
    </row>
    <row r="894" spans="1:8" x14ac:dyDescent="0.2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1"/>
    </row>
    <row r="895" spans="1:8" x14ac:dyDescent="0.2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1"/>
    </row>
    <row r="896" spans="1:8" x14ac:dyDescent="0.2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1"/>
    </row>
    <row r="897" spans="1:8" x14ac:dyDescent="0.2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1"/>
    </row>
    <row r="898" spans="1:8" x14ac:dyDescent="0.2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1"/>
    </row>
    <row r="899" spans="1:8" x14ac:dyDescent="0.2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1"/>
    </row>
    <row r="900" spans="1:8" x14ac:dyDescent="0.2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1"/>
    </row>
    <row r="901" spans="1:8" x14ac:dyDescent="0.2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1"/>
    </row>
    <row r="902" spans="1:8" x14ac:dyDescent="0.2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1"/>
    </row>
    <row r="903" spans="1:8" x14ac:dyDescent="0.2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1"/>
    </row>
    <row r="904" spans="1:8" x14ac:dyDescent="0.2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1"/>
    </row>
    <row r="905" spans="1:8" x14ac:dyDescent="0.2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1"/>
    </row>
    <row r="906" spans="1:8" x14ac:dyDescent="0.2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1"/>
    </row>
    <row r="907" spans="1:8" x14ac:dyDescent="0.2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1"/>
    </row>
    <row r="908" spans="1:8" x14ac:dyDescent="0.2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1"/>
    </row>
    <row r="909" spans="1:8" x14ac:dyDescent="0.2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1"/>
    </row>
    <row r="910" spans="1:8" x14ac:dyDescent="0.2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1"/>
    </row>
    <row r="911" spans="1:8" x14ac:dyDescent="0.2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1"/>
    </row>
    <row r="912" spans="1:8" x14ac:dyDescent="0.2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1"/>
    </row>
    <row r="913" spans="1:8" x14ac:dyDescent="0.2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1"/>
    </row>
    <row r="914" spans="1:8" x14ac:dyDescent="0.2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1"/>
    </row>
    <row r="915" spans="1:8" x14ac:dyDescent="0.2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1"/>
    </row>
    <row r="916" spans="1:8" x14ac:dyDescent="0.2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1"/>
    </row>
    <row r="917" spans="1:8" x14ac:dyDescent="0.2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1"/>
    </row>
    <row r="918" spans="1:8" x14ac:dyDescent="0.2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1"/>
    </row>
    <row r="919" spans="1:8" x14ac:dyDescent="0.2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1"/>
    </row>
    <row r="920" spans="1:8" x14ac:dyDescent="0.2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1"/>
    </row>
    <row r="921" spans="1:8" x14ac:dyDescent="0.2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1"/>
    </row>
    <row r="922" spans="1:8" x14ac:dyDescent="0.2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1"/>
    </row>
    <row r="923" spans="1:8" x14ac:dyDescent="0.2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1"/>
    </row>
    <row r="924" spans="1:8" x14ac:dyDescent="0.2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1"/>
    </row>
    <row r="925" spans="1:8" x14ac:dyDescent="0.2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1"/>
    </row>
    <row r="926" spans="1:8" x14ac:dyDescent="0.2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1"/>
    </row>
    <row r="927" spans="1:8" x14ac:dyDescent="0.2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1"/>
    </row>
    <row r="928" spans="1:8" x14ac:dyDescent="0.2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1"/>
    </row>
    <row r="929" spans="1:8" x14ac:dyDescent="0.2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1"/>
    </row>
    <row r="930" spans="1:8" x14ac:dyDescent="0.2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1"/>
    </row>
    <row r="931" spans="1:8" x14ac:dyDescent="0.2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1"/>
    </row>
    <row r="932" spans="1:8" x14ac:dyDescent="0.2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1"/>
    </row>
    <row r="933" spans="1:8" x14ac:dyDescent="0.2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1"/>
    </row>
    <row r="934" spans="1:8" x14ac:dyDescent="0.2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1"/>
    </row>
    <row r="935" spans="1:8" x14ac:dyDescent="0.2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1"/>
    </row>
    <row r="936" spans="1:8" x14ac:dyDescent="0.2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1"/>
    </row>
    <row r="937" spans="1:8" x14ac:dyDescent="0.2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1"/>
    </row>
    <row r="938" spans="1:8" x14ac:dyDescent="0.2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1"/>
    </row>
    <row r="939" spans="1:8" x14ac:dyDescent="0.2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1"/>
    </row>
    <row r="940" spans="1:8" x14ac:dyDescent="0.2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1"/>
    </row>
    <row r="941" spans="1:8" x14ac:dyDescent="0.2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1"/>
    </row>
    <row r="942" spans="1:8" x14ac:dyDescent="0.2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1"/>
    </row>
    <row r="943" spans="1:8" x14ac:dyDescent="0.2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1"/>
    </row>
    <row r="944" spans="1:8" x14ac:dyDescent="0.2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1"/>
    </row>
    <row r="945" spans="1:8" x14ac:dyDescent="0.2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1"/>
    </row>
    <row r="946" spans="1:8" x14ac:dyDescent="0.2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1"/>
    </row>
    <row r="947" spans="1:8" x14ac:dyDescent="0.2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1"/>
    </row>
    <row r="948" spans="1:8" x14ac:dyDescent="0.2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1"/>
    </row>
    <row r="949" spans="1:8" x14ac:dyDescent="0.2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1"/>
    </row>
    <row r="950" spans="1:8" x14ac:dyDescent="0.2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1"/>
    </row>
    <row r="951" spans="1:8" x14ac:dyDescent="0.2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1"/>
    </row>
    <row r="952" spans="1:8" x14ac:dyDescent="0.2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1"/>
    </row>
    <row r="953" spans="1:8" x14ac:dyDescent="0.2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1"/>
    </row>
    <row r="954" spans="1:8" x14ac:dyDescent="0.2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1"/>
    </row>
    <row r="955" spans="1:8" x14ac:dyDescent="0.2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1"/>
    </row>
    <row r="956" spans="1:8" x14ac:dyDescent="0.2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1"/>
    </row>
    <row r="957" spans="1:8" x14ac:dyDescent="0.2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1"/>
    </row>
    <row r="958" spans="1:8" x14ac:dyDescent="0.2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1"/>
    </row>
    <row r="959" spans="1:8" x14ac:dyDescent="0.2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1"/>
    </row>
    <row r="960" spans="1:8" x14ac:dyDescent="0.2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1"/>
    </row>
    <row r="961" spans="1:8" x14ac:dyDescent="0.2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1"/>
    </row>
    <row r="962" spans="1:8" x14ac:dyDescent="0.2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1"/>
    </row>
    <row r="963" spans="1:8" x14ac:dyDescent="0.2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1"/>
    </row>
    <row r="964" spans="1:8" x14ac:dyDescent="0.2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1"/>
    </row>
    <row r="965" spans="1:8" x14ac:dyDescent="0.2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1"/>
    </row>
    <row r="966" spans="1:8" x14ac:dyDescent="0.2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1"/>
    </row>
    <row r="967" spans="1:8" x14ac:dyDescent="0.2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1"/>
    </row>
    <row r="968" spans="1:8" x14ac:dyDescent="0.2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1"/>
    </row>
    <row r="969" spans="1:8" x14ac:dyDescent="0.2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1"/>
    </row>
    <row r="970" spans="1:8" x14ac:dyDescent="0.2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1"/>
    </row>
    <row r="971" spans="1:8" x14ac:dyDescent="0.2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1"/>
    </row>
    <row r="972" spans="1:8" x14ac:dyDescent="0.2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1"/>
    </row>
    <row r="973" spans="1:8" x14ac:dyDescent="0.2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1"/>
    </row>
    <row r="974" spans="1:8" x14ac:dyDescent="0.2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1"/>
    </row>
    <row r="975" spans="1:8" x14ac:dyDescent="0.2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1"/>
    </row>
    <row r="976" spans="1:8" x14ac:dyDescent="0.2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1"/>
    </row>
    <row r="977" spans="1:8" x14ac:dyDescent="0.2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1"/>
    </row>
    <row r="978" spans="1:8" x14ac:dyDescent="0.2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1"/>
    </row>
    <row r="979" spans="1:8" x14ac:dyDescent="0.2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1"/>
    </row>
    <row r="980" spans="1:8" x14ac:dyDescent="0.2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1"/>
    </row>
    <row r="981" spans="1:8" x14ac:dyDescent="0.2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1"/>
    </row>
    <row r="982" spans="1:8" x14ac:dyDescent="0.2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1"/>
    </row>
    <row r="983" spans="1:8" x14ac:dyDescent="0.2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1"/>
    </row>
    <row r="984" spans="1:8" x14ac:dyDescent="0.2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1"/>
    </row>
    <row r="985" spans="1:8" x14ac:dyDescent="0.2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1"/>
    </row>
    <row r="986" spans="1:8" x14ac:dyDescent="0.2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1"/>
    </row>
    <row r="987" spans="1:8" x14ac:dyDescent="0.2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1"/>
    </row>
    <row r="988" spans="1:8" x14ac:dyDescent="0.2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1"/>
    </row>
    <row r="989" spans="1:8" x14ac:dyDescent="0.2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1"/>
    </row>
    <row r="990" spans="1:8" x14ac:dyDescent="0.2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1"/>
    </row>
    <row r="991" spans="1:8" x14ac:dyDescent="0.2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1"/>
    </row>
    <row r="992" spans="1:8" x14ac:dyDescent="0.2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1"/>
    </row>
    <row r="993" spans="1:8" x14ac:dyDescent="0.2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1"/>
    </row>
    <row r="994" spans="1:8" x14ac:dyDescent="0.2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1"/>
    </row>
    <row r="995" spans="1:8" x14ac:dyDescent="0.2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1"/>
    </row>
    <row r="996" spans="1:8" x14ac:dyDescent="0.2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1"/>
    </row>
    <row r="997" spans="1:8" x14ac:dyDescent="0.2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1"/>
    </row>
    <row r="998" spans="1:8" x14ac:dyDescent="0.2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1"/>
    </row>
    <row r="999" spans="1:8" x14ac:dyDescent="0.2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1"/>
    </row>
    <row r="1000" spans="1:8" x14ac:dyDescent="0.2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1"/>
    </row>
    <row r="1001" spans="1:8" x14ac:dyDescent="0.2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1"/>
    </row>
    <row r="1002" spans="1:8" x14ac:dyDescent="0.2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1"/>
    </row>
    <row r="1003" spans="1:8" x14ac:dyDescent="0.2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1"/>
    </row>
    <row r="1004" spans="1:8" x14ac:dyDescent="0.2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1"/>
    </row>
    <row r="1005" spans="1:8" x14ac:dyDescent="0.2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1"/>
    </row>
    <row r="1006" spans="1:8" x14ac:dyDescent="0.2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1"/>
    </row>
    <row r="1007" spans="1:8" x14ac:dyDescent="0.2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1"/>
    </row>
    <row r="1008" spans="1:8" x14ac:dyDescent="0.2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1"/>
    </row>
    <row r="1009" spans="1:8" x14ac:dyDescent="0.2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1"/>
    </row>
    <row r="1010" spans="1:8" x14ac:dyDescent="0.2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1"/>
    </row>
    <row r="1011" spans="1:8" x14ac:dyDescent="0.2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1"/>
    </row>
    <row r="1012" spans="1:8" x14ac:dyDescent="0.2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1"/>
    </row>
    <row r="1013" spans="1:8" x14ac:dyDescent="0.2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1"/>
    </row>
    <row r="1014" spans="1:8" x14ac:dyDescent="0.2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1"/>
    </row>
    <row r="1015" spans="1:8" x14ac:dyDescent="0.2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1"/>
    </row>
    <row r="1016" spans="1:8" x14ac:dyDescent="0.2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1"/>
    </row>
    <row r="1017" spans="1:8" x14ac:dyDescent="0.2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1"/>
    </row>
    <row r="1018" spans="1:8" x14ac:dyDescent="0.2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1"/>
    </row>
    <row r="1019" spans="1:8" x14ac:dyDescent="0.2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1"/>
    </row>
    <row r="1020" spans="1:8" x14ac:dyDescent="0.2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1"/>
    </row>
    <row r="1021" spans="1:8" x14ac:dyDescent="0.2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1"/>
    </row>
    <row r="1022" spans="1:8" x14ac:dyDescent="0.2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1"/>
    </row>
    <row r="1023" spans="1:8" x14ac:dyDescent="0.2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1"/>
    </row>
    <row r="1024" spans="1:8" x14ac:dyDescent="0.2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1"/>
    </row>
    <row r="1025" spans="1:8" x14ac:dyDescent="0.2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1"/>
    </row>
    <row r="1026" spans="1:8" x14ac:dyDescent="0.2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1"/>
    </row>
    <row r="1027" spans="1:8" x14ac:dyDescent="0.2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1"/>
    </row>
    <row r="1028" spans="1:8" x14ac:dyDescent="0.2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1"/>
    </row>
    <row r="1029" spans="1:8" x14ac:dyDescent="0.2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1"/>
    </row>
    <row r="1030" spans="1:8" x14ac:dyDescent="0.2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1"/>
    </row>
    <row r="1031" spans="1:8" x14ac:dyDescent="0.2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1"/>
    </row>
    <row r="1032" spans="1:8" x14ac:dyDescent="0.2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1"/>
    </row>
    <row r="1033" spans="1:8" x14ac:dyDescent="0.2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1"/>
    </row>
    <row r="1034" spans="1:8" x14ac:dyDescent="0.2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1"/>
    </row>
    <row r="1035" spans="1:8" x14ac:dyDescent="0.2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1"/>
    </row>
    <row r="1036" spans="1:8" x14ac:dyDescent="0.2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1"/>
    </row>
    <row r="1037" spans="1:8" x14ac:dyDescent="0.2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1"/>
    </row>
    <row r="1038" spans="1:8" x14ac:dyDescent="0.2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1"/>
    </row>
    <row r="1039" spans="1:8" x14ac:dyDescent="0.2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1"/>
    </row>
    <row r="1040" spans="1:8" x14ac:dyDescent="0.2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1"/>
    </row>
    <row r="1041" spans="1:8" x14ac:dyDescent="0.2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1"/>
    </row>
    <row r="1042" spans="1:8" x14ac:dyDescent="0.2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1"/>
    </row>
    <row r="1043" spans="1:8" x14ac:dyDescent="0.2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1"/>
    </row>
    <row r="1044" spans="1:8" x14ac:dyDescent="0.2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1"/>
    </row>
    <row r="1045" spans="1:8" x14ac:dyDescent="0.2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1"/>
    </row>
    <row r="1046" spans="1:8" x14ac:dyDescent="0.2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1"/>
    </row>
    <row r="1047" spans="1:8" x14ac:dyDescent="0.2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1"/>
    </row>
    <row r="1048" spans="1:8" x14ac:dyDescent="0.2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1"/>
    </row>
    <row r="1049" spans="1:8" x14ac:dyDescent="0.2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1"/>
    </row>
    <row r="1050" spans="1:8" x14ac:dyDescent="0.2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1"/>
    </row>
    <row r="1051" spans="1:8" x14ac:dyDescent="0.2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1"/>
    </row>
    <row r="1052" spans="1:8" x14ac:dyDescent="0.2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1"/>
    </row>
    <row r="1053" spans="1:8" x14ac:dyDescent="0.2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1"/>
    </row>
    <row r="1054" spans="1:8" x14ac:dyDescent="0.2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1"/>
    </row>
    <row r="1055" spans="1:8" x14ac:dyDescent="0.2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1"/>
    </row>
    <row r="1056" spans="1:8" x14ac:dyDescent="0.2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1"/>
    </row>
    <row r="1057" spans="1:8" x14ac:dyDescent="0.2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1"/>
    </row>
    <row r="1058" spans="1:8" x14ac:dyDescent="0.2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1"/>
    </row>
    <row r="1059" spans="1:8" x14ac:dyDescent="0.2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1"/>
    </row>
    <row r="1060" spans="1:8" x14ac:dyDescent="0.2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1"/>
    </row>
    <row r="1061" spans="1:8" x14ac:dyDescent="0.2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1"/>
    </row>
    <row r="1062" spans="1:8" x14ac:dyDescent="0.2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1"/>
    </row>
    <row r="1063" spans="1:8" x14ac:dyDescent="0.2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1"/>
    </row>
    <row r="1064" spans="1:8" x14ac:dyDescent="0.2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1"/>
    </row>
    <row r="1065" spans="1:8" x14ac:dyDescent="0.2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1"/>
    </row>
    <row r="1066" spans="1:8" x14ac:dyDescent="0.2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1"/>
    </row>
    <row r="1067" spans="1:8" x14ac:dyDescent="0.2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1"/>
    </row>
    <row r="1068" spans="1:8" x14ac:dyDescent="0.2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1"/>
    </row>
    <row r="1069" spans="1:8" x14ac:dyDescent="0.2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1"/>
    </row>
    <row r="1070" spans="1:8" x14ac:dyDescent="0.2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1"/>
    </row>
    <row r="1071" spans="1:8" x14ac:dyDescent="0.2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1"/>
    </row>
    <row r="1072" spans="1:8" x14ac:dyDescent="0.2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1"/>
    </row>
    <row r="1073" spans="1:8" x14ac:dyDescent="0.2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1"/>
    </row>
    <row r="1074" spans="1:8" x14ac:dyDescent="0.2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1"/>
    </row>
    <row r="1075" spans="1:8" x14ac:dyDescent="0.2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1"/>
    </row>
    <row r="1076" spans="1:8" x14ac:dyDescent="0.2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1"/>
    </row>
    <row r="1077" spans="1:8" x14ac:dyDescent="0.2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1"/>
    </row>
    <row r="1078" spans="1:8" x14ac:dyDescent="0.2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1"/>
    </row>
    <row r="1079" spans="1:8" x14ac:dyDescent="0.2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1"/>
    </row>
    <row r="1080" spans="1:8" x14ac:dyDescent="0.2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1"/>
    </row>
    <row r="1081" spans="1:8" x14ac:dyDescent="0.2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1"/>
    </row>
    <row r="1082" spans="1:8" x14ac:dyDescent="0.2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1"/>
    </row>
    <row r="1083" spans="1:8" x14ac:dyDescent="0.2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1"/>
    </row>
    <row r="1084" spans="1:8" x14ac:dyDescent="0.2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1"/>
    </row>
    <row r="1085" spans="1:8" x14ac:dyDescent="0.2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1"/>
    </row>
    <row r="1086" spans="1:8" x14ac:dyDescent="0.2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1"/>
    </row>
    <row r="1087" spans="1:8" x14ac:dyDescent="0.2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1"/>
    </row>
    <row r="1088" spans="1:8" x14ac:dyDescent="0.2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1"/>
    </row>
    <row r="1089" spans="1:8" x14ac:dyDescent="0.2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1"/>
    </row>
    <row r="1090" spans="1:8" x14ac:dyDescent="0.2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1"/>
    </row>
    <row r="1091" spans="1:8" x14ac:dyDescent="0.2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1"/>
    </row>
    <row r="1092" spans="1:8" x14ac:dyDescent="0.2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1"/>
    </row>
    <row r="1093" spans="1:8" x14ac:dyDescent="0.2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1"/>
    </row>
    <row r="1094" spans="1:8" x14ac:dyDescent="0.2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1"/>
    </row>
    <row r="1095" spans="1:8" x14ac:dyDescent="0.2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1"/>
    </row>
    <row r="1096" spans="1:8" x14ac:dyDescent="0.2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1"/>
    </row>
    <row r="1097" spans="1:8" x14ac:dyDescent="0.2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1"/>
    </row>
    <row r="1098" spans="1:8" x14ac:dyDescent="0.2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1"/>
    </row>
    <row r="1099" spans="1:8" x14ac:dyDescent="0.2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1"/>
    </row>
    <row r="1100" spans="1:8" x14ac:dyDescent="0.2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1"/>
    </row>
    <row r="1101" spans="1:8" x14ac:dyDescent="0.2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1"/>
    </row>
    <row r="1102" spans="1:8" x14ac:dyDescent="0.2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1"/>
    </row>
    <row r="1103" spans="1:8" x14ac:dyDescent="0.2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1"/>
    </row>
    <row r="1104" spans="1:8" x14ac:dyDescent="0.2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1"/>
    </row>
    <row r="1105" spans="1:8" x14ac:dyDescent="0.2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1"/>
    </row>
    <row r="1106" spans="1:8" x14ac:dyDescent="0.2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1"/>
    </row>
    <row r="1107" spans="1:8" x14ac:dyDescent="0.2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1"/>
    </row>
    <row r="1108" spans="1:8" x14ac:dyDescent="0.2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1"/>
    </row>
    <row r="1109" spans="1:8" x14ac:dyDescent="0.2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1"/>
    </row>
    <row r="1110" spans="1:8" x14ac:dyDescent="0.2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1"/>
    </row>
    <row r="1111" spans="1:8" x14ac:dyDescent="0.2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1"/>
    </row>
    <row r="1112" spans="1:8" x14ac:dyDescent="0.2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1"/>
    </row>
    <row r="1113" spans="1:8" x14ac:dyDescent="0.2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1"/>
    </row>
    <row r="1114" spans="1:8" x14ac:dyDescent="0.2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1"/>
    </row>
    <row r="1115" spans="1:8" x14ac:dyDescent="0.2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1"/>
    </row>
    <row r="1116" spans="1:8" x14ac:dyDescent="0.2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1"/>
    </row>
    <row r="1117" spans="1:8" x14ac:dyDescent="0.2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1"/>
    </row>
    <row r="1118" spans="1:8" x14ac:dyDescent="0.2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1"/>
    </row>
    <row r="1119" spans="1:8" x14ac:dyDescent="0.2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1"/>
    </row>
    <row r="1120" spans="1:8" x14ac:dyDescent="0.2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1"/>
    </row>
    <row r="1121" spans="1:8" x14ac:dyDescent="0.2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1"/>
    </row>
    <row r="1122" spans="1:8" x14ac:dyDescent="0.2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1"/>
    </row>
    <row r="1123" spans="1:8" x14ac:dyDescent="0.2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1"/>
    </row>
    <row r="1124" spans="1:8" x14ac:dyDescent="0.2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1"/>
    </row>
    <row r="1125" spans="1:8" x14ac:dyDescent="0.2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1"/>
    </row>
    <row r="1126" spans="1:8" x14ac:dyDescent="0.2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1"/>
    </row>
    <row r="1127" spans="1:8" x14ac:dyDescent="0.2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1"/>
    </row>
    <row r="1128" spans="1:8" x14ac:dyDescent="0.2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1"/>
    </row>
    <row r="1129" spans="1:8" x14ac:dyDescent="0.2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1"/>
    </row>
    <row r="1130" spans="1:8" x14ac:dyDescent="0.2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1"/>
    </row>
    <row r="1131" spans="1:8" x14ac:dyDescent="0.2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1"/>
    </row>
    <row r="1132" spans="1:8" x14ac:dyDescent="0.2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1"/>
    </row>
    <row r="1133" spans="1:8" x14ac:dyDescent="0.2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1"/>
    </row>
    <row r="1134" spans="1:8" x14ac:dyDescent="0.2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1"/>
    </row>
    <row r="1135" spans="1:8" x14ac:dyDescent="0.2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1"/>
    </row>
    <row r="1136" spans="1:8" x14ac:dyDescent="0.2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1"/>
    </row>
    <row r="1137" spans="1:8" x14ac:dyDescent="0.2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1"/>
    </row>
    <row r="1138" spans="1:8" x14ac:dyDescent="0.2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1"/>
    </row>
    <row r="1139" spans="1:8" x14ac:dyDescent="0.2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1"/>
    </row>
    <row r="1140" spans="1:8" x14ac:dyDescent="0.2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1"/>
    </row>
    <row r="1141" spans="1:8" x14ac:dyDescent="0.2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1"/>
    </row>
    <row r="1142" spans="1:8" x14ac:dyDescent="0.2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1"/>
    </row>
    <row r="1143" spans="1:8" x14ac:dyDescent="0.2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1"/>
    </row>
    <row r="1144" spans="1:8" x14ac:dyDescent="0.2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1"/>
    </row>
    <row r="1145" spans="1:8" x14ac:dyDescent="0.2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1"/>
    </row>
    <row r="1146" spans="1:8" x14ac:dyDescent="0.2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1"/>
    </row>
    <row r="1147" spans="1:8" x14ac:dyDescent="0.2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1"/>
    </row>
    <row r="1148" spans="1:8" x14ac:dyDescent="0.2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1"/>
    </row>
    <row r="1149" spans="1:8" x14ac:dyDescent="0.2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1"/>
    </row>
    <row r="1150" spans="1:8" x14ac:dyDescent="0.2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1"/>
    </row>
    <row r="1151" spans="1:8" x14ac:dyDescent="0.2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1"/>
    </row>
    <row r="1152" spans="1:8" x14ac:dyDescent="0.2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1"/>
    </row>
    <row r="1153" spans="1:8" x14ac:dyDescent="0.2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1"/>
    </row>
    <row r="1154" spans="1:8" x14ac:dyDescent="0.2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1"/>
    </row>
    <row r="1155" spans="1:8" x14ac:dyDescent="0.2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1"/>
    </row>
    <row r="1156" spans="1:8" x14ac:dyDescent="0.2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1"/>
    </row>
    <row r="1157" spans="1:8" x14ac:dyDescent="0.2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1"/>
    </row>
    <row r="1158" spans="1:8" x14ac:dyDescent="0.2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1"/>
    </row>
    <row r="1159" spans="1:8" x14ac:dyDescent="0.2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1"/>
    </row>
    <row r="1160" spans="1:8" x14ac:dyDescent="0.2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1"/>
    </row>
    <row r="1161" spans="1:8" x14ac:dyDescent="0.2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1"/>
    </row>
    <row r="1162" spans="1:8" x14ac:dyDescent="0.2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1"/>
    </row>
    <row r="1163" spans="1:8" x14ac:dyDescent="0.2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1"/>
    </row>
    <row r="1164" spans="1:8" x14ac:dyDescent="0.2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1"/>
    </row>
    <row r="1165" spans="1:8" x14ac:dyDescent="0.2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1"/>
    </row>
    <row r="1166" spans="1:8" x14ac:dyDescent="0.2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1"/>
    </row>
    <row r="1167" spans="1:8" x14ac:dyDescent="0.2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1"/>
    </row>
    <row r="1168" spans="1:8" x14ac:dyDescent="0.2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1"/>
    </row>
    <row r="1169" spans="1:8" x14ac:dyDescent="0.2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1"/>
    </row>
    <row r="1170" spans="1:8" x14ac:dyDescent="0.2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1"/>
    </row>
    <row r="1171" spans="1:8" x14ac:dyDescent="0.2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1"/>
    </row>
    <row r="1172" spans="1:8" x14ac:dyDescent="0.2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1"/>
    </row>
    <row r="1173" spans="1:8" x14ac:dyDescent="0.2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1"/>
    </row>
    <row r="1174" spans="1:8" x14ac:dyDescent="0.2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1"/>
    </row>
    <row r="1175" spans="1:8" x14ac:dyDescent="0.2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1"/>
    </row>
    <row r="1176" spans="1:8" x14ac:dyDescent="0.2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1"/>
    </row>
    <row r="1177" spans="1:8" x14ac:dyDescent="0.2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1"/>
    </row>
    <row r="1178" spans="1:8" x14ac:dyDescent="0.2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1"/>
    </row>
    <row r="1179" spans="1:8" x14ac:dyDescent="0.2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1"/>
    </row>
    <row r="1180" spans="1:8" x14ac:dyDescent="0.2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1"/>
    </row>
    <row r="1181" spans="1:8" x14ac:dyDescent="0.2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1"/>
    </row>
    <row r="1182" spans="1:8" x14ac:dyDescent="0.2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1"/>
    </row>
    <row r="1183" spans="1:8" x14ac:dyDescent="0.2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1"/>
    </row>
    <row r="1184" spans="1:8" x14ac:dyDescent="0.2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1"/>
    </row>
    <row r="1185" spans="1:8" x14ac:dyDescent="0.2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1"/>
    </row>
    <row r="1186" spans="1:8" x14ac:dyDescent="0.2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1"/>
    </row>
    <row r="1187" spans="1:8" x14ac:dyDescent="0.2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1"/>
    </row>
    <row r="1188" spans="1:8" x14ac:dyDescent="0.2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1"/>
    </row>
    <row r="1189" spans="1:8" x14ac:dyDescent="0.2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1"/>
    </row>
    <row r="1190" spans="1:8" x14ac:dyDescent="0.2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1"/>
    </row>
    <row r="1191" spans="1:8" x14ac:dyDescent="0.2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1"/>
    </row>
    <row r="1192" spans="1:8" x14ac:dyDescent="0.2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1"/>
    </row>
    <row r="1193" spans="1:8" x14ac:dyDescent="0.2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1"/>
    </row>
    <row r="1194" spans="1:8" x14ac:dyDescent="0.2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1"/>
    </row>
    <row r="1195" spans="1:8" x14ac:dyDescent="0.2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1"/>
    </row>
    <row r="1196" spans="1:8" x14ac:dyDescent="0.2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1"/>
    </row>
    <row r="1197" spans="1:8" x14ac:dyDescent="0.2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1"/>
    </row>
    <row r="1198" spans="1:8" x14ac:dyDescent="0.2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1"/>
    </row>
    <row r="1199" spans="1:8" x14ac:dyDescent="0.2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1"/>
    </row>
    <row r="1200" spans="1:8" x14ac:dyDescent="0.2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1"/>
    </row>
    <row r="1201" spans="1:8" x14ac:dyDescent="0.2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1"/>
    </row>
    <row r="1202" spans="1:8" x14ac:dyDescent="0.2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1"/>
    </row>
    <row r="1203" spans="1:8" x14ac:dyDescent="0.2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1"/>
    </row>
    <row r="1204" spans="1:8" x14ac:dyDescent="0.2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1"/>
    </row>
    <row r="1205" spans="1:8" x14ac:dyDescent="0.2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1"/>
    </row>
    <row r="1206" spans="1:8" x14ac:dyDescent="0.2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1"/>
    </row>
    <row r="1207" spans="1:8" x14ac:dyDescent="0.2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1"/>
    </row>
    <row r="1208" spans="1:8" x14ac:dyDescent="0.2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1"/>
    </row>
    <row r="1209" spans="1:8" x14ac:dyDescent="0.2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1"/>
    </row>
    <row r="1210" spans="1:8" x14ac:dyDescent="0.2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1"/>
    </row>
    <row r="1211" spans="1:8" x14ac:dyDescent="0.2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1"/>
    </row>
    <row r="1212" spans="1:8" x14ac:dyDescent="0.2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1"/>
    </row>
    <row r="1213" spans="1:8" x14ac:dyDescent="0.2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1"/>
    </row>
    <row r="1214" spans="1:8" x14ac:dyDescent="0.2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1"/>
    </row>
    <row r="1215" spans="1:8" x14ac:dyDescent="0.2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1"/>
    </row>
    <row r="1216" spans="1:8" x14ac:dyDescent="0.2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1"/>
    </row>
    <row r="1217" spans="1:8" x14ac:dyDescent="0.2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1"/>
    </row>
    <row r="1218" spans="1:8" x14ac:dyDescent="0.2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1"/>
    </row>
    <row r="1219" spans="1:8" x14ac:dyDescent="0.2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1"/>
    </row>
    <row r="1220" spans="1:8" x14ac:dyDescent="0.2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1"/>
    </row>
    <row r="1221" spans="1:8" x14ac:dyDescent="0.2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1"/>
    </row>
    <row r="1222" spans="1:8" x14ac:dyDescent="0.2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1"/>
    </row>
    <row r="1223" spans="1:8" x14ac:dyDescent="0.2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1"/>
    </row>
    <row r="1224" spans="1:8" x14ac:dyDescent="0.2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1"/>
    </row>
    <row r="1225" spans="1:8" x14ac:dyDescent="0.2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1"/>
    </row>
    <row r="1226" spans="1:8" x14ac:dyDescent="0.2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1"/>
    </row>
    <row r="1227" spans="1:8" x14ac:dyDescent="0.2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1"/>
    </row>
    <row r="1228" spans="1:8" x14ac:dyDescent="0.2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1"/>
    </row>
    <row r="1229" spans="1:8" x14ac:dyDescent="0.2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1"/>
    </row>
    <row r="1230" spans="1:8" x14ac:dyDescent="0.2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1"/>
    </row>
    <row r="1231" spans="1:8" x14ac:dyDescent="0.2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1"/>
    </row>
    <row r="1232" spans="1:8" x14ac:dyDescent="0.2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1"/>
    </row>
    <row r="1233" spans="1:8" x14ac:dyDescent="0.2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1"/>
    </row>
    <row r="1234" spans="1:8" x14ac:dyDescent="0.2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1"/>
    </row>
    <row r="1235" spans="1:8" x14ac:dyDescent="0.2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1"/>
    </row>
    <row r="1236" spans="1:8" x14ac:dyDescent="0.2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1"/>
    </row>
    <row r="1237" spans="1:8" x14ac:dyDescent="0.2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1"/>
    </row>
    <row r="1238" spans="1:8" x14ac:dyDescent="0.2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1"/>
    </row>
    <row r="1239" spans="1:8" x14ac:dyDescent="0.2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1"/>
    </row>
    <row r="1240" spans="1:8" x14ac:dyDescent="0.2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1"/>
    </row>
    <row r="1241" spans="1:8" x14ac:dyDescent="0.2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1"/>
    </row>
    <row r="1242" spans="1:8" x14ac:dyDescent="0.2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1"/>
    </row>
    <row r="1243" spans="1:8" x14ac:dyDescent="0.2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1"/>
    </row>
    <row r="1244" spans="1:8" x14ac:dyDescent="0.2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1"/>
    </row>
    <row r="1245" spans="1:8" x14ac:dyDescent="0.2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1"/>
    </row>
    <row r="1246" spans="1:8" x14ac:dyDescent="0.2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1"/>
    </row>
    <row r="1247" spans="1:8" x14ac:dyDescent="0.2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1"/>
    </row>
    <row r="1248" spans="1:8" x14ac:dyDescent="0.2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1"/>
    </row>
    <row r="1249" spans="1:8" x14ac:dyDescent="0.2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1"/>
    </row>
    <row r="1250" spans="1:8" x14ac:dyDescent="0.2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1"/>
    </row>
    <row r="1251" spans="1:8" x14ac:dyDescent="0.2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1"/>
    </row>
    <row r="1252" spans="1:8" x14ac:dyDescent="0.2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1"/>
    </row>
    <row r="1253" spans="1:8" x14ac:dyDescent="0.2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1"/>
    </row>
    <row r="1254" spans="1:8" x14ac:dyDescent="0.2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1"/>
    </row>
    <row r="1255" spans="1:8" x14ac:dyDescent="0.2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1"/>
    </row>
    <row r="1256" spans="1:8" x14ac:dyDescent="0.2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1"/>
    </row>
    <row r="1257" spans="1:8" x14ac:dyDescent="0.2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1"/>
    </row>
    <row r="1258" spans="1:8" x14ac:dyDescent="0.2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1"/>
    </row>
    <row r="1259" spans="1:8" x14ac:dyDescent="0.2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1"/>
    </row>
    <row r="1260" spans="1:8" x14ac:dyDescent="0.2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1"/>
    </row>
    <row r="1261" spans="1:8" x14ac:dyDescent="0.2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1"/>
    </row>
    <row r="1262" spans="1:8" x14ac:dyDescent="0.2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1"/>
    </row>
    <row r="1263" spans="1:8" x14ac:dyDescent="0.2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1"/>
    </row>
    <row r="1264" spans="1:8" x14ac:dyDescent="0.2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1"/>
    </row>
    <row r="1265" spans="1:8" x14ac:dyDescent="0.2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1"/>
    </row>
    <row r="1266" spans="1:8" x14ac:dyDescent="0.2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1"/>
    </row>
    <row r="1267" spans="1:8" x14ac:dyDescent="0.2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1"/>
    </row>
    <row r="1268" spans="1:8" x14ac:dyDescent="0.2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1"/>
    </row>
    <row r="1269" spans="1:8" x14ac:dyDescent="0.2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1"/>
    </row>
    <row r="1270" spans="1:8" x14ac:dyDescent="0.2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1"/>
    </row>
    <row r="1271" spans="1:8" x14ac:dyDescent="0.2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1"/>
    </row>
    <row r="1272" spans="1:8" x14ac:dyDescent="0.2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1"/>
    </row>
    <row r="1273" spans="1:8" x14ac:dyDescent="0.2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1"/>
    </row>
    <row r="1274" spans="1:8" x14ac:dyDescent="0.2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1"/>
    </row>
    <row r="1275" spans="1:8" x14ac:dyDescent="0.2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1"/>
    </row>
    <row r="1276" spans="1:8" x14ac:dyDescent="0.2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1"/>
    </row>
    <row r="1277" spans="1:8" x14ac:dyDescent="0.2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1"/>
    </row>
    <row r="1278" spans="1:8" x14ac:dyDescent="0.2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1"/>
    </row>
    <row r="1279" spans="1:8" x14ac:dyDescent="0.2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1"/>
    </row>
    <row r="1280" spans="1:8" x14ac:dyDescent="0.2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1"/>
    </row>
    <row r="1281" spans="1:8" x14ac:dyDescent="0.2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1"/>
    </row>
    <row r="1282" spans="1:8" x14ac:dyDescent="0.2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1"/>
    </row>
    <row r="1283" spans="1:8" x14ac:dyDescent="0.2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1"/>
    </row>
    <row r="1284" spans="1:8" x14ac:dyDescent="0.2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1"/>
    </row>
    <row r="1285" spans="1:8" x14ac:dyDescent="0.2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1"/>
    </row>
    <row r="1286" spans="1:8" x14ac:dyDescent="0.2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1"/>
    </row>
    <row r="1287" spans="1:8" x14ac:dyDescent="0.2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1"/>
    </row>
    <row r="1288" spans="1:8" x14ac:dyDescent="0.2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1"/>
    </row>
    <row r="1289" spans="1:8" x14ac:dyDescent="0.2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1"/>
    </row>
    <row r="1290" spans="1:8" x14ac:dyDescent="0.2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1"/>
    </row>
    <row r="1291" spans="1:8" x14ac:dyDescent="0.2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1"/>
    </row>
    <row r="1292" spans="1:8" x14ac:dyDescent="0.2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1"/>
    </row>
    <row r="1293" spans="1:8" x14ac:dyDescent="0.2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1"/>
    </row>
    <row r="1294" spans="1:8" x14ac:dyDescent="0.2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1"/>
    </row>
    <row r="1295" spans="1:8" x14ac:dyDescent="0.2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1"/>
    </row>
    <row r="1296" spans="1:8" x14ac:dyDescent="0.2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1"/>
    </row>
    <row r="1297" spans="1:8" x14ac:dyDescent="0.2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1"/>
    </row>
    <row r="1298" spans="1:8" x14ac:dyDescent="0.2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1"/>
    </row>
    <row r="1299" spans="1:8" x14ac:dyDescent="0.2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1"/>
    </row>
    <row r="1300" spans="1:8" x14ac:dyDescent="0.2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1"/>
    </row>
    <row r="1301" spans="1:8" x14ac:dyDescent="0.2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1"/>
    </row>
    <row r="1302" spans="1:8" x14ac:dyDescent="0.2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1"/>
    </row>
    <row r="1303" spans="1:8" x14ac:dyDescent="0.2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1"/>
    </row>
    <row r="1304" spans="1:8" x14ac:dyDescent="0.2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1"/>
    </row>
    <row r="1305" spans="1:8" x14ac:dyDescent="0.2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1"/>
    </row>
    <row r="1306" spans="1:8" x14ac:dyDescent="0.2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1"/>
    </row>
    <row r="1307" spans="1:8" x14ac:dyDescent="0.2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1"/>
    </row>
    <row r="1308" spans="1:8" x14ac:dyDescent="0.2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1"/>
    </row>
    <row r="1309" spans="1:8" x14ac:dyDescent="0.2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1"/>
    </row>
    <row r="1310" spans="1:8" x14ac:dyDescent="0.2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1"/>
    </row>
    <row r="1311" spans="1:8" x14ac:dyDescent="0.2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1"/>
    </row>
    <row r="1312" spans="1:8" x14ac:dyDescent="0.2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1"/>
    </row>
    <row r="1313" spans="1:8" x14ac:dyDescent="0.2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1"/>
    </row>
    <row r="1314" spans="1:8" x14ac:dyDescent="0.2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1"/>
    </row>
    <row r="1315" spans="1:8" x14ac:dyDescent="0.2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1"/>
    </row>
    <row r="1316" spans="1:8" x14ac:dyDescent="0.2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1"/>
    </row>
    <row r="1317" spans="1:8" x14ac:dyDescent="0.2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1"/>
    </row>
    <row r="1318" spans="1:8" x14ac:dyDescent="0.2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1"/>
    </row>
    <row r="1319" spans="1:8" x14ac:dyDescent="0.2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1"/>
    </row>
    <row r="1320" spans="1:8" x14ac:dyDescent="0.2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1"/>
    </row>
    <row r="1321" spans="1:8" x14ac:dyDescent="0.2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1"/>
    </row>
    <row r="1322" spans="1:8" x14ac:dyDescent="0.2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1"/>
    </row>
    <row r="1323" spans="1:8" x14ac:dyDescent="0.2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1"/>
    </row>
    <row r="1324" spans="1:8" x14ac:dyDescent="0.2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1"/>
    </row>
    <row r="1325" spans="1:8" x14ac:dyDescent="0.2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1"/>
    </row>
    <row r="1326" spans="1:8" x14ac:dyDescent="0.2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1"/>
    </row>
    <row r="1327" spans="1:8" x14ac:dyDescent="0.2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1"/>
    </row>
    <row r="1328" spans="1:8" x14ac:dyDescent="0.2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1"/>
    </row>
    <row r="1329" spans="1:8" x14ac:dyDescent="0.2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1"/>
    </row>
    <row r="1330" spans="1:8" x14ac:dyDescent="0.2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1"/>
    </row>
    <row r="1331" spans="1:8" x14ac:dyDescent="0.2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1"/>
    </row>
    <row r="1332" spans="1:8" x14ac:dyDescent="0.2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1"/>
    </row>
    <row r="1333" spans="1:8" x14ac:dyDescent="0.2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1"/>
    </row>
    <row r="1334" spans="1:8" x14ac:dyDescent="0.2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1"/>
    </row>
    <row r="1335" spans="1:8" x14ac:dyDescent="0.2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1"/>
    </row>
    <row r="1336" spans="1:8" x14ac:dyDescent="0.2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1"/>
    </row>
    <row r="1337" spans="1:8" x14ac:dyDescent="0.2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1"/>
    </row>
    <row r="1338" spans="1:8" x14ac:dyDescent="0.2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1"/>
    </row>
    <row r="1339" spans="1:8" x14ac:dyDescent="0.2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1"/>
    </row>
    <row r="1340" spans="1:8" x14ac:dyDescent="0.2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1"/>
    </row>
    <row r="1341" spans="1:8" x14ac:dyDescent="0.2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1"/>
    </row>
    <row r="1342" spans="1:8" x14ac:dyDescent="0.2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1"/>
    </row>
    <row r="1343" spans="1:8" x14ac:dyDescent="0.2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1"/>
    </row>
    <row r="1344" spans="1:8" x14ac:dyDescent="0.2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1"/>
    </row>
    <row r="1345" spans="1:8" x14ac:dyDescent="0.2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1"/>
    </row>
    <row r="1346" spans="1:8" x14ac:dyDescent="0.2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1"/>
    </row>
    <row r="1347" spans="1:8" x14ac:dyDescent="0.2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1"/>
    </row>
    <row r="1348" spans="1:8" x14ac:dyDescent="0.2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1"/>
    </row>
    <row r="1349" spans="1:8" x14ac:dyDescent="0.2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1"/>
    </row>
    <row r="1350" spans="1:8" x14ac:dyDescent="0.2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1"/>
    </row>
    <row r="1351" spans="1:8" x14ac:dyDescent="0.2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1"/>
    </row>
    <row r="1352" spans="1:8" x14ac:dyDescent="0.2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1"/>
    </row>
    <row r="1353" spans="1:8" x14ac:dyDescent="0.2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1"/>
    </row>
    <row r="1354" spans="1:8" x14ac:dyDescent="0.2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1"/>
    </row>
    <row r="1355" spans="1:8" x14ac:dyDescent="0.2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1"/>
    </row>
    <row r="1356" spans="1:8" x14ac:dyDescent="0.2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1"/>
    </row>
    <row r="1357" spans="1:8" x14ac:dyDescent="0.2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1"/>
    </row>
    <row r="1358" spans="1:8" x14ac:dyDescent="0.2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1"/>
    </row>
    <row r="1359" spans="1:8" x14ac:dyDescent="0.2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1"/>
    </row>
    <row r="1360" spans="1:8" x14ac:dyDescent="0.2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1"/>
    </row>
    <row r="1361" spans="1:8" x14ac:dyDescent="0.2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1"/>
    </row>
    <row r="1362" spans="1:8" x14ac:dyDescent="0.2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1"/>
    </row>
    <row r="1363" spans="1:8" x14ac:dyDescent="0.2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1"/>
    </row>
    <row r="1364" spans="1:8" x14ac:dyDescent="0.2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1"/>
    </row>
    <row r="1365" spans="1:8" x14ac:dyDescent="0.2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1"/>
    </row>
    <row r="1366" spans="1:8" x14ac:dyDescent="0.2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1"/>
    </row>
    <row r="1367" spans="1:8" x14ac:dyDescent="0.2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1"/>
    </row>
    <row r="1368" spans="1:8" x14ac:dyDescent="0.2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1"/>
    </row>
    <row r="1369" spans="1:8" x14ac:dyDescent="0.2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1"/>
    </row>
    <row r="1370" spans="1:8" x14ac:dyDescent="0.2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1"/>
    </row>
    <row r="1371" spans="1:8" x14ac:dyDescent="0.2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1"/>
    </row>
    <row r="1372" spans="1:8" x14ac:dyDescent="0.2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1"/>
    </row>
    <row r="1373" spans="1:8" x14ac:dyDescent="0.2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1"/>
    </row>
    <row r="1374" spans="1:8" x14ac:dyDescent="0.2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1"/>
    </row>
    <row r="1375" spans="1:8" x14ac:dyDescent="0.2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1"/>
    </row>
    <row r="1376" spans="1:8" x14ac:dyDescent="0.2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1"/>
    </row>
    <row r="1377" spans="1:8" x14ac:dyDescent="0.2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1"/>
    </row>
    <row r="1378" spans="1:8" x14ac:dyDescent="0.2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1"/>
    </row>
    <row r="1379" spans="1:8" x14ac:dyDescent="0.2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1"/>
    </row>
    <row r="1380" spans="1:8" x14ac:dyDescent="0.2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1"/>
    </row>
    <row r="1381" spans="1:8" x14ac:dyDescent="0.2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1"/>
    </row>
    <row r="1382" spans="1:8" x14ac:dyDescent="0.2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1"/>
    </row>
    <row r="1383" spans="1:8" x14ac:dyDescent="0.2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1"/>
    </row>
    <row r="1384" spans="1:8" x14ac:dyDescent="0.2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1"/>
    </row>
    <row r="1385" spans="1:8" x14ac:dyDescent="0.2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1"/>
    </row>
    <row r="1386" spans="1:8" x14ac:dyDescent="0.2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1"/>
    </row>
    <row r="1387" spans="1:8" x14ac:dyDescent="0.2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1"/>
    </row>
    <row r="1388" spans="1:8" x14ac:dyDescent="0.2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1"/>
    </row>
    <row r="1389" spans="1:8" x14ac:dyDescent="0.2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1"/>
    </row>
    <row r="1390" spans="1:8" x14ac:dyDescent="0.2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1"/>
    </row>
    <row r="1391" spans="1:8" x14ac:dyDescent="0.2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1"/>
    </row>
    <row r="1392" spans="1:8" x14ac:dyDescent="0.2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1"/>
    </row>
    <row r="1393" spans="1:8" x14ac:dyDescent="0.2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1"/>
    </row>
    <row r="1394" spans="1:8" x14ac:dyDescent="0.2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1"/>
    </row>
    <row r="1395" spans="1:8" x14ac:dyDescent="0.2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1"/>
    </row>
    <row r="1396" spans="1:8" x14ac:dyDescent="0.2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1"/>
    </row>
    <row r="1397" spans="1:8" x14ac:dyDescent="0.2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1"/>
    </row>
    <row r="1398" spans="1:8" x14ac:dyDescent="0.2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1"/>
    </row>
    <row r="1399" spans="1:8" x14ac:dyDescent="0.2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1"/>
    </row>
    <row r="1400" spans="1:8" x14ac:dyDescent="0.2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1"/>
    </row>
    <row r="1401" spans="1:8" x14ac:dyDescent="0.2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1"/>
    </row>
    <row r="1402" spans="1:8" x14ac:dyDescent="0.2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1"/>
    </row>
    <row r="1403" spans="1:8" x14ac:dyDescent="0.2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1"/>
    </row>
    <row r="1404" spans="1:8" x14ac:dyDescent="0.2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1"/>
    </row>
    <row r="1405" spans="1:8" x14ac:dyDescent="0.2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1"/>
    </row>
    <row r="1406" spans="1:8" x14ac:dyDescent="0.2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1"/>
    </row>
    <row r="1407" spans="1:8" x14ac:dyDescent="0.2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1"/>
    </row>
    <row r="1408" spans="1:8" x14ac:dyDescent="0.2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1"/>
    </row>
    <row r="1409" spans="1:8" x14ac:dyDescent="0.2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1"/>
    </row>
    <row r="1410" spans="1:8" x14ac:dyDescent="0.2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1"/>
    </row>
    <row r="1411" spans="1:8" x14ac:dyDescent="0.2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1"/>
    </row>
    <row r="1412" spans="1:8" x14ac:dyDescent="0.2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1"/>
    </row>
    <row r="1413" spans="1:8" x14ac:dyDescent="0.2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1"/>
    </row>
    <row r="1414" spans="1:8" x14ac:dyDescent="0.2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1"/>
    </row>
    <row r="1415" spans="1:8" x14ac:dyDescent="0.2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1"/>
    </row>
    <row r="1416" spans="1:8" x14ac:dyDescent="0.2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1"/>
    </row>
    <row r="1417" spans="1:8" x14ac:dyDescent="0.2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1"/>
    </row>
    <row r="1418" spans="1:8" x14ac:dyDescent="0.2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1"/>
    </row>
    <row r="1419" spans="1:8" x14ac:dyDescent="0.2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1"/>
    </row>
    <row r="1420" spans="1:8" x14ac:dyDescent="0.2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1"/>
    </row>
    <row r="1421" spans="1:8" x14ac:dyDescent="0.2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1"/>
    </row>
    <row r="1422" spans="1:8" x14ac:dyDescent="0.2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1"/>
    </row>
    <row r="1423" spans="1:8" x14ac:dyDescent="0.2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1"/>
    </row>
    <row r="1424" spans="1:8" x14ac:dyDescent="0.2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1"/>
    </row>
    <row r="1425" spans="1:8" x14ac:dyDescent="0.2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1"/>
    </row>
    <row r="1426" spans="1:8" x14ac:dyDescent="0.2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1"/>
    </row>
    <row r="1427" spans="1:8" x14ac:dyDescent="0.2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1"/>
    </row>
    <row r="1428" spans="1:8" x14ac:dyDescent="0.2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1"/>
    </row>
    <row r="1429" spans="1:8" x14ac:dyDescent="0.2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1"/>
    </row>
    <row r="1430" spans="1:8" x14ac:dyDescent="0.2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1"/>
    </row>
    <row r="1431" spans="1:8" x14ac:dyDescent="0.2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1"/>
    </row>
    <row r="1432" spans="1:8" x14ac:dyDescent="0.2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1"/>
    </row>
    <row r="1433" spans="1:8" x14ac:dyDescent="0.2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1"/>
    </row>
    <row r="1434" spans="1:8" x14ac:dyDescent="0.2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1"/>
    </row>
    <row r="1435" spans="1:8" x14ac:dyDescent="0.2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1"/>
    </row>
    <row r="1436" spans="1:8" x14ac:dyDescent="0.2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1"/>
    </row>
    <row r="1437" spans="1:8" x14ac:dyDescent="0.2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1"/>
    </row>
    <row r="1438" spans="1:8" x14ac:dyDescent="0.2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1"/>
    </row>
    <row r="1439" spans="1:8" x14ac:dyDescent="0.2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1"/>
    </row>
    <row r="1440" spans="1:8" x14ac:dyDescent="0.2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1"/>
    </row>
    <row r="1441" spans="1:8" x14ac:dyDescent="0.2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1"/>
    </row>
    <row r="1442" spans="1:8" x14ac:dyDescent="0.2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1"/>
    </row>
    <row r="1443" spans="1:8" x14ac:dyDescent="0.2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1"/>
    </row>
    <row r="1444" spans="1:8" x14ac:dyDescent="0.2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1"/>
    </row>
    <row r="1445" spans="1:8" x14ac:dyDescent="0.2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1"/>
    </row>
    <row r="1446" spans="1:8" x14ac:dyDescent="0.2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1"/>
    </row>
    <row r="1447" spans="1:8" x14ac:dyDescent="0.2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1"/>
    </row>
    <row r="1448" spans="1:8" x14ac:dyDescent="0.2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1"/>
    </row>
    <row r="1449" spans="1:8" x14ac:dyDescent="0.2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1"/>
    </row>
    <row r="1450" spans="1:8" x14ac:dyDescent="0.2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1"/>
    </row>
    <row r="1451" spans="1:8" x14ac:dyDescent="0.2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1"/>
    </row>
    <row r="1452" spans="1:8" x14ac:dyDescent="0.2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1"/>
    </row>
    <row r="1453" spans="1:8" x14ac:dyDescent="0.2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1"/>
    </row>
    <row r="1454" spans="1:8" x14ac:dyDescent="0.2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1"/>
    </row>
    <row r="1455" spans="1:8" x14ac:dyDescent="0.2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1"/>
    </row>
    <row r="1456" spans="1:8" x14ac:dyDescent="0.2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1"/>
    </row>
    <row r="1457" spans="1:8" x14ac:dyDescent="0.2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1"/>
    </row>
    <row r="1458" spans="1:8" x14ac:dyDescent="0.2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1"/>
    </row>
    <row r="1459" spans="1:8" x14ac:dyDescent="0.2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1"/>
    </row>
    <row r="1460" spans="1:8" x14ac:dyDescent="0.2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1"/>
    </row>
    <row r="1461" spans="1:8" x14ac:dyDescent="0.2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1"/>
    </row>
    <row r="1462" spans="1:8" x14ac:dyDescent="0.2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1"/>
    </row>
    <row r="1463" spans="1:8" x14ac:dyDescent="0.2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1"/>
    </row>
    <row r="1464" spans="1:8" x14ac:dyDescent="0.2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1"/>
    </row>
    <row r="1465" spans="1:8" x14ac:dyDescent="0.2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1"/>
    </row>
    <row r="1466" spans="1:8" x14ac:dyDescent="0.2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1"/>
    </row>
    <row r="1467" spans="1:8" x14ac:dyDescent="0.2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1"/>
    </row>
    <row r="1468" spans="1:8" x14ac:dyDescent="0.2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1"/>
    </row>
    <row r="1469" spans="1:8" x14ac:dyDescent="0.2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1"/>
    </row>
    <row r="1470" spans="1:8" x14ac:dyDescent="0.2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1"/>
    </row>
    <row r="1471" spans="1:8" x14ac:dyDescent="0.2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1"/>
    </row>
    <row r="1472" spans="1:8" x14ac:dyDescent="0.2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1"/>
    </row>
    <row r="1473" spans="1:8" x14ac:dyDescent="0.2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1"/>
    </row>
    <row r="1474" spans="1:8" x14ac:dyDescent="0.2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1"/>
    </row>
    <row r="1475" spans="1:8" x14ac:dyDescent="0.2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1"/>
    </row>
    <row r="1476" spans="1:8" x14ac:dyDescent="0.2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1"/>
    </row>
    <row r="1477" spans="1:8" x14ac:dyDescent="0.2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1"/>
    </row>
    <row r="1478" spans="1:8" x14ac:dyDescent="0.2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1"/>
    </row>
    <row r="1479" spans="1:8" x14ac:dyDescent="0.2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1"/>
    </row>
    <row r="1480" spans="1:8" x14ac:dyDescent="0.2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1"/>
    </row>
    <row r="1481" spans="1:8" x14ac:dyDescent="0.2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1"/>
    </row>
    <row r="1482" spans="1:8" x14ac:dyDescent="0.2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1"/>
    </row>
    <row r="1483" spans="1:8" x14ac:dyDescent="0.2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1"/>
    </row>
    <row r="1484" spans="1:8" x14ac:dyDescent="0.2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1"/>
    </row>
    <row r="1485" spans="1:8" x14ac:dyDescent="0.2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1"/>
    </row>
    <row r="1486" spans="1:8" x14ac:dyDescent="0.2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1"/>
    </row>
    <row r="1487" spans="1:8" x14ac:dyDescent="0.2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1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1"/>
  <sheetViews>
    <sheetView tabSelected="1" workbookViewId="0">
      <selection activeCell="M10" sqref="M10"/>
    </sheetView>
  </sheetViews>
  <sheetFormatPr defaultRowHeight="12.75" x14ac:dyDescent="0.2"/>
  <cols>
    <col min="1" max="1" width="7.5703125" style="4" customWidth="1"/>
    <col min="2" max="2" width="8.85546875" style="4"/>
  </cols>
  <sheetData>
    <row r="1" spans="1:18" ht="34.9" customHeight="1" x14ac:dyDescent="0.2">
      <c r="A1" s="37" t="s">
        <v>3892</v>
      </c>
      <c r="B1" s="38" t="s">
        <v>3893</v>
      </c>
      <c r="E1" s="75" t="s">
        <v>3894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8" ht="18" customHeight="1" x14ac:dyDescent="0.2">
      <c r="A2" s="39">
        <v>0</v>
      </c>
      <c r="B2" s="39">
        <v>1</v>
      </c>
      <c r="D2" s="3">
        <v>27</v>
      </c>
      <c r="E2" s="41" t="s">
        <v>3895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20" t="s">
        <v>3884</v>
      </c>
    </row>
    <row r="3" spans="1:18" ht="18" customHeight="1" x14ac:dyDescent="0.2">
      <c r="A3" s="39">
        <v>10</v>
      </c>
      <c r="B3" s="39">
        <v>1.17</v>
      </c>
      <c r="D3" s="48">
        <v>28</v>
      </c>
      <c r="E3" s="41" t="s">
        <v>3896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20" t="s">
        <v>3884</v>
      </c>
    </row>
    <row r="4" spans="1:18" ht="18" customHeight="1" x14ac:dyDescent="0.2">
      <c r="A4" s="39">
        <v>25</v>
      </c>
      <c r="B4" s="39">
        <v>1.48</v>
      </c>
    </row>
    <row r="5" spans="1:18" ht="18" customHeight="1" x14ac:dyDescent="0.2">
      <c r="A5" s="39">
        <v>45</v>
      </c>
      <c r="B5" s="39">
        <v>2.2799999999999998</v>
      </c>
    </row>
    <row r="6" spans="1:18" ht="18" customHeight="1" x14ac:dyDescent="0.2">
      <c r="A6" s="39">
        <v>49.5</v>
      </c>
      <c r="B6" s="39">
        <v>3.3</v>
      </c>
    </row>
    <row r="7" spans="1:18" ht="18" customHeight="1" x14ac:dyDescent="0.2">
      <c r="A7" s="39">
        <v>49.75</v>
      </c>
      <c r="B7" s="39">
        <v>3.6</v>
      </c>
    </row>
    <row r="8" spans="1:18" ht="18" customHeight="1" x14ac:dyDescent="0.2">
      <c r="A8" s="39">
        <v>50</v>
      </c>
      <c r="B8" s="39">
        <v>7</v>
      </c>
      <c r="R8" t="s">
        <v>3897</v>
      </c>
    </row>
    <row r="9" spans="1:18" ht="18" customHeight="1" x14ac:dyDescent="0.2">
      <c r="A9" s="39">
        <v>50.25</v>
      </c>
      <c r="B9" s="39">
        <v>10.4</v>
      </c>
    </row>
    <row r="10" spans="1:18" ht="18" customHeight="1" x14ac:dyDescent="0.2">
      <c r="A10" s="39">
        <v>55</v>
      </c>
      <c r="B10" s="39">
        <v>11.68</v>
      </c>
    </row>
    <row r="11" spans="1:18" ht="18" customHeight="1" x14ac:dyDescent="0.2">
      <c r="A11" s="39">
        <v>60</v>
      </c>
      <c r="B11" s="39">
        <v>11.96</v>
      </c>
    </row>
  </sheetData>
  <mergeCells count="1">
    <mergeCell ref="E1:Q1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Kārlis</vt:lpstr>
      <vt:lpstr>Vidējais ātrums</vt:lpstr>
      <vt:lpstr>velo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Patrīcija</cp:lastModifiedBy>
  <cp:lastPrinted>2014-11-15T13:20:28Z</cp:lastPrinted>
  <dcterms:created xsi:type="dcterms:W3CDTF">2014-03-10T14:05:11Z</dcterms:created>
  <dcterms:modified xsi:type="dcterms:W3CDTF">2026-02-11T13:46:05Z</dcterms:modified>
</cp:coreProperties>
</file>